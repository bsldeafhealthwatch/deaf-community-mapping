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use" sheetId="1" state="visible" r:id="rId1"/>
    <sheet xmlns:r="http://schemas.openxmlformats.org/officeDocument/2006/relationships" name="Templates" sheetId="2" state="visible" r:id="rId2"/>
    <sheet xmlns:r="http://schemas.openxmlformats.org/officeDocument/2006/relationships" name="T1 ICB activity" sheetId="3" state="visible" r:id="rId3"/>
    <sheet xmlns:r="http://schemas.openxmlformats.org/officeDocument/2006/relationships" name="T2 Hospital trust" sheetId="4" state="visible" r:id="rId4"/>
    <sheet xmlns:r="http://schemas.openxmlformats.org/officeDocument/2006/relationships" name="T3 Council sensory" sheetId="5" state="visible" r:id="rId5"/>
    <sheet xmlns:r="http://schemas.openxmlformats.org/officeDocument/2006/relationships" name="T4 SWL follow-up" sheetId="6" state="visible" r:id="rId6"/>
    <sheet xmlns:r="http://schemas.openxmlformats.org/officeDocument/2006/relationships" name="T5 Mental health" sheetId="7" state="visible" r:id="rId7"/>
    <sheet xmlns:r="http://schemas.openxmlformats.org/officeDocument/2006/relationships" name="T6 Cost fallback" sheetId="8" state="visible" r:id="rId8"/>
    <sheet xmlns:r="http://schemas.openxmlformats.org/officeDocument/2006/relationships" name="Request log" sheetId="9" state="visible" r:id="rId9"/>
    <sheet xmlns:r="http://schemas.openxmlformats.org/officeDocument/2006/relationships" name="Contacts" sheetId="10" state="visible" r:id="rId10"/>
    <sheet xmlns:r="http://schemas.openxmlformats.org/officeDocument/2006/relationships" name="Known data" sheetId="11" state="visible" r:id="rId11"/>
  </sheets>
  <definedNames>
    <definedName name="_xlnm._FilterDatabase" localSheetId="8" hidden="1">'Request log'!$A$4:$R$60</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 mmmm\ yyyy"/>
    <numFmt numFmtId="165" formatCode="yyyy\-mm\-dd"/>
    <numFmt numFmtId="166" formatCode="dd/mm/yyyy"/>
    <numFmt numFmtId="167" formatCode="0.0%"/>
    <numFmt numFmtId="168"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A1814"/>
      <sz val="18"/>
    </font>
    <font>
      <name val="Arial"/>
      <charset val="1"/>
      <family val="0"/>
      <color rgb="FF6B6459"/>
      <sz val="9"/>
    </font>
    <font>
      <name val="Arial"/>
      <charset val="1"/>
      <family val="0"/>
      <b val="1"/>
      <color rgb="FF0B3D91"/>
      <sz val="13"/>
    </font>
    <font>
      <name val="Arial"/>
      <charset val="1"/>
      <family val="0"/>
      <b val="1"/>
      <color rgb="FFFFFFFF"/>
      <sz val="10"/>
    </font>
    <font>
      <name val="Arial"/>
      <charset val="1"/>
      <family val="0"/>
      <b val="1"/>
      <color rgb="FF1A1814"/>
      <sz val="10"/>
    </font>
    <font>
      <name val="Arial"/>
      <charset val="1"/>
      <family val="0"/>
      <color rgb="FF1A1814"/>
      <sz val="10"/>
    </font>
    <font>
      <name val="Arial"/>
      <charset val="1"/>
      <family val="0"/>
      <b val="1"/>
      <color rgb="FF1A1814"/>
      <sz val="11"/>
    </font>
    <font>
      <name val="Arial"/>
      <charset val="1"/>
      <family val="0"/>
      <b val="1"/>
      <color rgb="FFFFFFFF"/>
      <sz val="9"/>
    </font>
    <font>
      <name val="Arial"/>
      <charset val="1"/>
      <family val="0"/>
      <color rgb="FF0000FF"/>
      <sz val="10"/>
    </font>
    <font>
      <name val="Arial"/>
      <charset val="1"/>
      <family val="0"/>
      <i val="1"/>
      <color rgb="FF808080"/>
      <sz val="9"/>
    </font>
    <font>
      <name val="Arial"/>
      <charset val="1"/>
      <family val="0"/>
      <color rgb="FF808080"/>
      <sz val="9"/>
    </font>
  </fonts>
  <fills count="11">
    <fill>
      <patternFill/>
    </fill>
    <fill>
      <patternFill patternType="gray125"/>
    </fill>
    <fill>
      <patternFill patternType="solid">
        <fgColor rgb="FF0B3D91"/>
        <bgColor rgb="FF333399"/>
      </patternFill>
    </fill>
    <fill>
      <patternFill patternType="solid">
        <fgColor rgb="FFE6F1FB"/>
        <bgColor rgb="FFE9F3EC"/>
      </patternFill>
    </fill>
    <fill>
      <patternFill patternType="solid">
        <fgColor rgb="FFFFFFFF"/>
        <bgColor rgb="FFFFF8DC"/>
      </patternFill>
    </fill>
    <fill>
      <patternFill patternType="solid">
        <fgColor rgb="FF1A1814"/>
        <bgColor rgb="FF000000"/>
      </patternFill>
    </fill>
    <fill>
      <patternFill patternType="solid">
        <fgColor rgb="FFF5F2EC"/>
        <bgColor rgb="FFFDF2DF"/>
      </patternFill>
    </fill>
    <fill>
      <patternFill patternType="solid">
        <fgColor rgb="FFE9F3EC"/>
        <bgColor rgb="FFE6F1FB"/>
      </patternFill>
    </fill>
    <fill>
      <patternFill patternType="solid">
        <fgColor rgb="FFFDF2DF"/>
        <bgColor rgb="FFFFF8DC"/>
      </patternFill>
    </fill>
    <fill>
      <patternFill patternType="solid">
        <fgColor rgb="FFFBE9E7"/>
        <bgColor rgb="FFFDF2DF"/>
      </patternFill>
    </fill>
    <fill>
      <patternFill patternType="solid">
        <fgColor rgb="FFFFF8DC"/>
        <bgColor rgb="FFFDF2DF"/>
      </patternFill>
    </fill>
  </fills>
  <borders count="5">
    <border>
      <left/>
      <right/>
      <top/>
      <bottom/>
      <diagonal/>
    </border>
    <border>
      <left style="thin">
        <color rgb="FFD8D3C8"/>
      </left>
      <right style="thin">
        <color rgb="FFD8D3C8"/>
      </right>
      <top style="thin">
        <color rgb="FFD8D3C8"/>
      </top>
      <bottom style="thin">
        <color rgb="FFD8D3C8"/>
      </bottom>
      <diagonal/>
    </border>
    <border>
      <left style="thin">
        <color rgb="FFD8D3C8"/>
      </left>
      <right/>
      <top style="thin">
        <color rgb="FFD8D3C8"/>
      </top>
      <bottom style="thin">
        <color rgb="FFD8D3C8"/>
      </bottom>
      <diagonal/>
    </border>
    <border>
      <left/>
      <right/>
      <top style="thin">
        <color rgb="FFD8D3C8"/>
      </top>
      <bottom style="thin">
        <color rgb="FFD8D3C8"/>
      </bottom>
      <diagonal/>
    </border>
    <border>
      <left/>
      <right/>
      <top style="thin">
        <color rgb="FFD8D3C8"/>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general" vertical="top"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applyAlignment="1" pivotButton="0" quotePrefix="0" xfId="0">
      <alignment horizontal="general" vertical="center" wrapText="1"/>
    </xf>
    <xf numFmtId="0" fontId="9" fillId="4" borderId="2" applyAlignment="1" pivotButton="0" quotePrefix="0" xfId="0">
      <alignment horizontal="general" vertical="top" wrapText="1"/>
    </xf>
    <xf numFmtId="0" fontId="7" fillId="5" borderId="1" applyAlignment="1" pivotButton="0" quotePrefix="0" xfId="0">
      <alignment horizontal="center" vertical="center" wrapText="1"/>
    </xf>
    <xf numFmtId="0" fontId="9" fillId="6" borderId="2" applyAlignment="1" pivotButton="0" quotePrefix="0" xfId="0">
      <alignment horizontal="general" vertical="center" wrapText="1"/>
    </xf>
    <xf numFmtId="0" fontId="9" fillId="4" borderId="2" applyAlignment="1" pivotButton="0" quotePrefix="0" xfId="0">
      <alignment horizontal="general" vertical="center" wrapText="1"/>
    </xf>
    <xf numFmtId="0" fontId="9" fillId="0" borderId="2" applyAlignment="1" pivotButton="0" quotePrefix="0" xfId="0">
      <alignment horizontal="general" vertical="center" wrapText="1"/>
    </xf>
    <xf numFmtId="0" fontId="0" fillId="0" borderId="0" applyAlignment="1" pivotButton="0" quotePrefix="0" xfId="0">
      <alignment horizontal="general" vertical="bottom"/>
    </xf>
    <xf numFmtId="0" fontId="9" fillId="7" borderId="0" applyAlignment="1" pivotButton="0" quotePrefix="0" xfId="0">
      <alignment horizontal="general" vertical="top" wrapText="1"/>
    </xf>
    <xf numFmtId="0" fontId="6" fillId="0" borderId="0" applyAlignment="1" pivotButton="0" quotePrefix="0" xfId="0">
      <alignment horizontal="left" vertical="center" wrapText="1"/>
    </xf>
    <xf numFmtId="0" fontId="0" fillId="0" borderId="3" applyAlignment="1" pivotButton="0" quotePrefix="0" xfId="0">
      <alignment horizontal="general" vertical="bottom"/>
    </xf>
    <xf numFmtId="0" fontId="4" fillId="0" borderId="0" applyAlignment="1" pivotButton="0" quotePrefix="0" xfId="0">
      <alignment horizontal="general" vertical="top" wrapText="1"/>
    </xf>
    <xf numFmtId="0" fontId="7" fillId="5" borderId="1" applyAlignment="1" pivotButton="0" quotePrefix="0" xfId="0">
      <alignment horizontal="general" vertical="center" wrapText="1"/>
    </xf>
    <xf numFmtId="0" fontId="8" fillId="7" borderId="1" applyAlignment="1" pivotButton="0" quotePrefix="0" xfId="0">
      <alignment horizontal="general" vertical="center" wrapText="1"/>
    </xf>
    <xf numFmtId="0" fontId="9" fillId="7" borderId="1" applyAlignment="1" pivotButton="0" quotePrefix="0" xfId="0">
      <alignment horizontal="general" vertical="top" wrapText="1"/>
    </xf>
    <xf numFmtId="0" fontId="9" fillId="3" borderId="1" applyAlignment="1" pivotButton="0" quotePrefix="0" xfId="0">
      <alignment horizontal="general" vertical="top" wrapText="1"/>
    </xf>
    <xf numFmtId="0" fontId="8" fillId="8" borderId="1" applyAlignment="1" pivotButton="0" quotePrefix="0" xfId="0">
      <alignment horizontal="general" vertical="center" wrapText="1"/>
    </xf>
    <xf numFmtId="0" fontId="9" fillId="8" borderId="1" applyAlignment="1" pivotButton="0" quotePrefix="0" xfId="0">
      <alignment horizontal="general" vertical="top" wrapText="1"/>
    </xf>
    <xf numFmtId="0" fontId="8" fillId="9" borderId="1" applyAlignment="1" pivotButton="0" quotePrefix="0" xfId="0">
      <alignment horizontal="general" vertical="center" wrapText="1"/>
    </xf>
    <xf numFmtId="0" fontId="9" fillId="9" borderId="1" applyAlignment="1" pivotButton="0" quotePrefix="0" xfId="0">
      <alignment horizontal="general" vertical="top" wrapText="1"/>
    </xf>
    <xf numFmtId="0" fontId="6" fillId="0" borderId="0" applyAlignment="1" pivotButton="0" quotePrefix="0" xfId="0">
      <alignment horizontal="general" vertical="top" wrapText="1"/>
    </xf>
    <xf numFmtId="0" fontId="9" fillId="6" borderId="0" applyAlignment="1" pivotButton="0" quotePrefix="0" xfId="0">
      <alignment horizontal="general" vertical="top" wrapText="1"/>
    </xf>
    <xf numFmtId="0" fontId="10" fillId="0" borderId="0" applyAlignment="1" pivotButton="0" quotePrefix="0" xfId="0">
      <alignment horizontal="general" vertical="top" wrapText="1"/>
    </xf>
    <xf numFmtId="0" fontId="9" fillId="4"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10" borderId="1" applyAlignment="1" pivotButton="0" quotePrefix="0" xfId="0">
      <alignment horizontal="general" vertical="center" wrapText="1"/>
    </xf>
    <xf numFmtId="164" fontId="12" fillId="10" borderId="1" applyAlignment="1" pivotButton="0" quotePrefix="0" xfId="0">
      <alignment horizontal="general" vertical="center" wrapText="1"/>
    </xf>
    <xf numFmtId="0" fontId="11" fillId="5" borderId="1" applyAlignment="1" pivotButton="0" quotePrefix="0" xfId="0">
      <alignment horizontal="general" vertical="center" wrapText="1"/>
    </xf>
    <xf numFmtId="0" fontId="7" fillId="2" borderId="1" applyAlignment="1" pivotButton="0" quotePrefix="0" xfId="0">
      <alignment horizontal="general" vertical="center" wrapText="1"/>
    </xf>
    <xf numFmtId="0" fontId="5" fillId="6" borderId="1" applyAlignment="1" pivotButton="0" quotePrefix="0" xfId="0">
      <alignment horizontal="general" vertical="center" wrapText="1"/>
    </xf>
    <xf numFmtId="0" fontId="9" fillId="4" borderId="1" applyAlignment="1" pivotButton="0" quotePrefix="0" xfId="0">
      <alignment horizontal="general" vertical="top" wrapText="1"/>
    </xf>
    <xf numFmtId="0" fontId="5" fillId="6" borderId="1" applyAlignment="1" pivotButton="0" quotePrefix="0" xfId="0">
      <alignment horizontal="general" vertical="top" wrapText="1"/>
    </xf>
    <xf numFmtId="0" fontId="5" fillId="8" borderId="0" applyAlignment="1" pivotButton="0" quotePrefix="0" xfId="0">
      <alignment horizontal="general" vertical="top" wrapText="1"/>
    </xf>
    <xf numFmtId="0" fontId="13" fillId="0" borderId="0" applyAlignment="1" pivotButton="0" quotePrefix="0" xfId="0">
      <alignment horizontal="general" vertical="bottom"/>
    </xf>
    <xf numFmtId="0" fontId="8" fillId="4"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10" borderId="1" applyAlignment="1" pivotButton="0" quotePrefix="0" xfId="0">
      <alignment horizontal="general" vertical="top" wrapText="1"/>
    </xf>
    <xf numFmtId="165" fontId="12" fillId="10" borderId="1" applyAlignment="1" pivotButton="0" quotePrefix="0" xfId="0">
      <alignment horizontal="center" vertical="center" wrapText="1"/>
    </xf>
    <xf numFmtId="165"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66" fontId="14" fillId="0" borderId="0" applyAlignment="1" pivotButton="0" quotePrefix="0" xfId="0">
      <alignment horizontal="general" vertical="bottom"/>
    </xf>
    <xf numFmtId="0" fontId="8" fillId="6" borderId="1" applyAlignment="1" pivotButton="0" quotePrefix="0" xfId="0">
      <alignment horizontal="general" vertical="center" wrapText="1"/>
    </xf>
    <xf numFmtId="0" fontId="9" fillId="6"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9" borderId="1" applyAlignment="1" pivotButton="0" quotePrefix="0" xfId="0">
      <alignment horizontal="center" vertical="center" wrapText="1"/>
    </xf>
    <xf numFmtId="0" fontId="8" fillId="4" borderId="1" applyAlignment="1" pivotButton="0" quotePrefix="0" xfId="0">
      <alignment horizontal="general" vertical="center" wrapText="1"/>
    </xf>
    <xf numFmtId="0" fontId="9" fillId="4" borderId="1" applyAlignment="1" pivotButton="0" quotePrefix="0" xfId="0">
      <alignment horizontal="center" vertical="center" wrapText="1"/>
    </xf>
    <xf numFmtId="0" fontId="9" fillId="7" borderId="1" applyAlignment="1" pivotButton="0" quotePrefix="0" xfId="0">
      <alignment horizontal="general" vertical="center" wrapText="1"/>
    </xf>
    <xf numFmtId="0" fontId="8" fillId="7" borderId="1" applyAlignment="1" pivotButton="0" quotePrefix="0" xfId="0">
      <alignment horizontal="center" vertical="center" wrapText="1"/>
    </xf>
    <xf numFmtId="0" fontId="9" fillId="8" borderId="1" applyAlignment="1" pivotButton="0" quotePrefix="0" xfId="0">
      <alignment horizontal="general" vertical="center" wrapText="1"/>
    </xf>
    <xf numFmtId="0" fontId="8" fillId="8" borderId="1" applyAlignment="1" pivotButton="0" quotePrefix="0" xfId="0">
      <alignment horizontal="center" vertical="center" wrapText="1"/>
    </xf>
    <xf numFmtId="0" fontId="9" fillId="8" borderId="1" applyAlignment="1" pivotButton="0" quotePrefix="0" xfId="0">
      <alignment horizontal="center" vertical="center" wrapText="1"/>
    </xf>
    <xf numFmtId="3" fontId="9" fillId="4" borderId="1" applyAlignment="1" pivotButton="0" quotePrefix="0" xfId="0">
      <alignment horizontal="center" vertical="center" wrapText="1"/>
    </xf>
    <xf numFmtId="3" fontId="8" fillId="4" borderId="1" applyAlignment="1" pivotButton="0" quotePrefix="0" xfId="0">
      <alignment horizontal="center" vertical="center" wrapText="1"/>
    </xf>
    <xf numFmtId="167" fontId="9" fillId="4" borderId="1" applyAlignment="1" pivotButton="0" quotePrefix="0" xfId="0">
      <alignment horizontal="center" vertical="center" wrapText="1"/>
    </xf>
    <xf numFmtId="168" fontId="9" fillId="4" borderId="1" applyAlignment="1" pivotButton="0" quotePrefix="0" xfId="0">
      <alignment horizontal="center" vertical="center" wrapText="1"/>
    </xf>
    <xf numFmtId="0" fontId="5" fillId="4" borderId="1" applyAlignment="1" pivotButton="0" quotePrefix="0" xfId="0">
      <alignment horizontal="general" vertical="center" wrapText="1"/>
    </xf>
    <xf numFmtId="0" fontId="5" fillId="4" borderId="1" applyAlignment="1" pivotButton="0" quotePrefix="0" xfId="0">
      <alignment horizontal="general" vertical="top" wrapText="1"/>
    </xf>
    <xf numFmtId="3" fontId="7" fillId="2" borderId="1" applyAlignment="1" pivotButton="0" quotePrefix="0" xfId="0">
      <alignment horizontal="center" vertical="center" wrapText="1"/>
    </xf>
    <xf numFmtId="9" fontId="7" fillId="2" borderId="1" applyAlignment="1" pivotButton="0" quotePrefix="0" xfId="0">
      <alignment horizontal="center" vertical="center" wrapText="1"/>
    </xf>
    <xf numFmtId="168" fontId="7" fillId="2" borderId="1" applyAlignment="1" pivotButton="0" quotePrefix="0" xfId="0">
      <alignment horizontal="center" vertical="center" wrapText="1"/>
    </xf>
    <xf numFmtId="0" fontId="11" fillId="2" borderId="1" applyAlignment="1" pivotButton="0" quotePrefix="0" xfId="0">
      <alignment horizontal="general" vertical="top" wrapText="1"/>
    </xf>
    <xf numFmtId="0" fontId="9" fillId="4" borderId="1" applyAlignment="1" pivotButton="0" quotePrefix="0" xfId="0">
      <alignment horizontal="general" vertical="center" wrapText="1"/>
    </xf>
    <xf numFmtId="0" fontId="9" fillId="9" borderId="1" applyAlignment="1" pivotButton="0" quotePrefix="0" xfId="0">
      <alignment horizontal="general" vertical="center" wrapText="1"/>
    </xf>
    <xf numFmtId="0" fontId="5" fillId="9" borderId="1" applyAlignment="1" pivotButton="0" quotePrefix="0" xfId="0">
      <alignment horizontal="general" vertical="center" wrapText="1"/>
    </xf>
    <xf numFmtId="0" fontId="5" fillId="9" borderId="1" applyAlignment="1" pivotButton="0" quotePrefix="0" xfId="0">
      <alignment horizontal="general" vertical="top" wrapText="1"/>
    </xf>
    <xf numFmtId="0" fontId="8" fillId="8"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general" vertical="top" wrapText="1"/>
    </xf>
    <xf numFmtId="0" fontId="6" fillId="0" borderId="0" applyAlignment="1" pivotButton="0" quotePrefix="0" xfId="0">
      <alignment horizontal="left" vertical="center" wrapText="1"/>
    </xf>
    <xf numFmtId="0" fontId="7" fillId="2" borderId="1" applyAlignment="1" pivotButton="0" quotePrefix="0" xfId="0">
      <alignment horizontal="center" vertical="center" wrapText="1"/>
    </xf>
    <xf numFmtId="0" fontId="8" fillId="3" borderId="1" applyAlignment="1" pivotButton="0" quotePrefix="0" xfId="0">
      <alignment horizontal="general" vertical="center" wrapText="1"/>
    </xf>
    <xf numFmtId="0" fontId="9" fillId="4" borderId="2" applyAlignment="1" pivotButton="0" quotePrefix="0" xfId="0">
      <alignment horizontal="general" vertical="top" wrapText="1"/>
    </xf>
    <xf numFmtId="0" fontId="0" fillId="0" borderId="3" pivotButton="0" quotePrefix="0" xfId="0"/>
    <xf numFmtId="0" fontId="7" fillId="5" borderId="1" applyAlignment="1" pivotButton="0" quotePrefix="0" xfId="0">
      <alignment horizontal="center" vertical="center" wrapText="1"/>
    </xf>
    <xf numFmtId="0" fontId="9" fillId="6" borderId="2" applyAlignment="1" pivotButton="0" quotePrefix="0" xfId="0">
      <alignment horizontal="general" vertical="center" wrapText="1"/>
    </xf>
    <xf numFmtId="0" fontId="9" fillId="4" borderId="2" applyAlignment="1" pivotButton="0" quotePrefix="0" xfId="0">
      <alignment horizontal="general" vertical="center" wrapText="1"/>
    </xf>
    <xf numFmtId="0" fontId="9" fillId="0" borderId="2" applyAlignment="1" pivotButton="0" quotePrefix="0" xfId="0">
      <alignment horizontal="general" vertical="center" wrapText="1"/>
    </xf>
    <xf numFmtId="0" fontId="9" fillId="7" borderId="0" applyAlignment="1" pivotButton="0" quotePrefix="0" xfId="0">
      <alignment horizontal="general" vertical="top" wrapText="1"/>
    </xf>
    <xf numFmtId="0" fontId="0" fillId="0" borderId="3" applyAlignment="1" pivotButton="0" quotePrefix="0" xfId="0">
      <alignment horizontal="general" vertical="bottom"/>
    </xf>
    <xf numFmtId="0" fontId="4" fillId="0" borderId="0" applyAlignment="1" pivotButton="0" quotePrefix="0" xfId="0">
      <alignment horizontal="general" vertical="top" wrapText="1"/>
    </xf>
    <xf numFmtId="0" fontId="7" fillId="5" borderId="1" applyAlignment="1" pivotButton="0" quotePrefix="0" xfId="0">
      <alignment horizontal="general" vertical="center" wrapText="1"/>
    </xf>
    <xf numFmtId="0" fontId="8" fillId="7" borderId="1" applyAlignment="1" pivotButton="0" quotePrefix="0" xfId="0">
      <alignment horizontal="general" vertical="center" wrapText="1"/>
    </xf>
    <xf numFmtId="0" fontId="9" fillId="7" borderId="1" applyAlignment="1" pivotButton="0" quotePrefix="0" xfId="0">
      <alignment horizontal="general" vertical="top" wrapText="1"/>
    </xf>
    <xf numFmtId="0" fontId="9" fillId="3" borderId="1" applyAlignment="1" pivotButton="0" quotePrefix="0" xfId="0">
      <alignment horizontal="general" vertical="top" wrapText="1"/>
    </xf>
    <xf numFmtId="0" fontId="8" fillId="8" borderId="1" applyAlignment="1" pivotButton="0" quotePrefix="0" xfId="0">
      <alignment horizontal="general" vertical="center" wrapText="1"/>
    </xf>
    <xf numFmtId="0" fontId="9" fillId="8" borderId="1" applyAlignment="1" pivotButton="0" quotePrefix="0" xfId="0">
      <alignment horizontal="general" vertical="top" wrapText="1"/>
    </xf>
    <xf numFmtId="0" fontId="8" fillId="9" borderId="1" applyAlignment="1" pivotButton="0" quotePrefix="0" xfId="0">
      <alignment horizontal="general" vertical="center" wrapText="1"/>
    </xf>
    <xf numFmtId="0" fontId="9" fillId="9" borderId="1" applyAlignment="1" pivotButton="0" quotePrefix="0" xfId="0">
      <alignment horizontal="general" vertical="top" wrapText="1"/>
    </xf>
    <xf numFmtId="0" fontId="6" fillId="0" borderId="0" applyAlignment="1" pivotButton="0" quotePrefix="0" xfId="0">
      <alignment horizontal="general" vertical="top" wrapText="1"/>
    </xf>
    <xf numFmtId="0" fontId="9" fillId="6" borderId="0" applyAlignment="1" pivotButton="0" quotePrefix="0" xfId="0">
      <alignment horizontal="general" vertical="top" wrapText="1"/>
    </xf>
    <xf numFmtId="0" fontId="10" fillId="0" borderId="0" applyAlignment="1" pivotButton="0" quotePrefix="0" xfId="0">
      <alignment horizontal="general" vertical="top" wrapText="1"/>
    </xf>
    <xf numFmtId="0" fontId="9" fillId="4"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10" borderId="1" applyAlignment="1" pivotButton="0" quotePrefix="0" xfId="0">
      <alignment horizontal="general" vertical="center" wrapText="1"/>
    </xf>
    <xf numFmtId="164" fontId="12" fillId="10" borderId="1" applyAlignment="1" pivotButton="0" quotePrefix="0" xfId="0">
      <alignment horizontal="general" vertical="center" wrapText="1"/>
    </xf>
    <xf numFmtId="0" fontId="11" fillId="5" borderId="1" applyAlignment="1" pivotButton="0" quotePrefix="0" xfId="0">
      <alignment horizontal="general" vertical="center" wrapText="1"/>
    </xf>
    <xf numFmtId="0" fontId="7" fillId="2" borderId="1" applyAlignment="1" pivotButton="0" quotePrefix="0" xfId="0">
      <alignment horizontal="general" vertical="center" wrapText="1"/>
    </xf>
    <xf numFmtId="0" fontId="5" fillId="6" borderId="1" applyAlignment="1" pivotButton="0" quotePrefix="0" xfId="0">
      <alignment horizontal="general" vertical="center" wrapText="1"/>
    </xf>
    <xf numFmtId="0" fontId="9" fillId="4" borderId="1" applyAlignment="1" pivotButton="0" quotePrefix="0" xfId="0">
      <alignment horizontal="general" vertical="top" wrapText="1"/>
    </xf>
    <xf numFmtId="0" fontId="5" fillId="6" borderId="1" applyAlignment="1" pivotButton="0" quotePrefix="0" xfId="0">
      <alignment horizontal="general" vertical="top" wrapText="1"/>
    </xf>
    <xf numFmtId="0" fontId="5" fillId="8" borderId="0" applyAlignment="1" pivotButton="0" quotePrefix="0" xfId="0">
      <alignment horizontal="general" vertical="top" wrapText="1"/>
    </xf>
    <xf numFmtId="0" fontId="13" fillId="0" borderId="0" applyAlignment="1" pivotButton="0" quotePrefix="0" xfId="0">
      <alignment horizontal="general" vertical="bottom"/>
    </xf>
    <xf numFmtId="0" fontId="8" fillId="4"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10" borderId="1" applyAlignment="1" pivotButton="0" quotePrefix="0" xfId="0">
      <alignment horizontal="general" vertical="top" wrapText="1"/>
    </xf>
    <xf numFmtId="165" fontId="12" fillId="10" borderId="1" applyAlignment="1" pivotButton="0" quotePrefix="0" xfId="0">
      <alignment horizontal="center" vertical="center" wrapText="1"/>
    </xf>
    <xf numFmtId="165"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66" fontId="14" fillId="0" borderId="0" applyAlignment="1" pivotButton="0" quotePrefix="0" xfId="0">
      <alignment horizontal="general" vertical="bottom"/>
    </xf>
    <xf numFmtId="0" fontId="8" fillId="6" borderId="1" applyAlignment="1" pivotButton="0" quotePrefix="0" xfId="0">
      <alignment horizontal="general" vertical="center" wrapText="1"/>
    </xf>
    <xf numFmtId="0" fontId="9" fillId="6"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9" borderId="1" applyAlignment="1" pivotButton="0" quotePrefix="0" xfId="0">
      <alignment horizontal="center" vertical="center" wrapText="1"/>
    </xf>
    <xf numFmtId="0" fontId="8" fillId="4" borderId="1" applyAlignment="1" pivotButton="0" quotePrefix="0" xfId="0">
      <alignment horizontal="general" vertical="center" wrapText="1"/>
    </xf>
    <xf numFmtId="0" fontId="9" fillId="4" borderId="1" applyAlignment="1" pivotButton="0" quotePrefix="0" xfId="0">
      <alignment horizontal="center" vertical="center" wrapText="1"/>
    </xf>
    <xf numFmtId="0" fontId="9" fillId="7" borderId="1" applyAlignment="1" pivotButton="0" quotePrefix="0" xfId="0">
      <alignment horizontal="general" vertical="center" wrapText="1"/>
    </xf>
    <xf numFmtId="0" fontId="8" fillId="7" borderId="1" applyAlignment="1" pivotButton="0" quotePrefix="0" xfId="0">
      <alignment horizontal="center" vertical="center" wrapText="1"/>
    </xf>
    <xf numFmtId="0" fontId="9" fillId="8" borderId="1" applyAlignment="1" pivotButton="0" quotePrefix="0" xfId="0">
      <alignment horizontal="general" vertical="center" wrapText="1"/>
    </xf>
    <xf numFmtId="0" fontId="8" fillId="8" borderId="1" applyAlignment="1" pivotButton="0" quotePrefix="0" xfId="0">
      <alignment horizontal="center" vertical="center" wrapText="1"/>
    </xf>
    <xf numFmtId="0" fontId="9" fillId="8" borderId="1" applyAlignment="1" pivotButton="0" quotePrefix="0" xfId="0">
      <alignment horizontal="center" vertical="center" wrapText="1"/>
    </xf>
    <xf numFmtId="3" fontId="9" fillId="4" borderId="1" applyAlignment="1" pivotButton="0" quotePrefix="0" xfId="0">
      <alignment horizontal="center" vertical="center" wrapText="1"/>
    </xf>
    <xf numFmtId="3" fontId="8" fillId="4" borderId="1" applyAlignment="1" pivotButton="0" quotePrefix="0" xfId="0">
      <alignment horizontal="center" vertical="center" wrapText="1"/>
    </xf>
    <xf numFmtId="167" fontId="9" fillId="4" borderId="1" applyAlignment="1" pivotButton="0" quotePrefix="0" xfId="0">
      <alignment horizontal="center" vertical="center" wrapText="1"/>
    </xf>
    <xf numFmtId="168" fontId="9" fillId="4" borderId="1" applyAlignment="1" pivotButton="0" quotePrefix="0" xfId="0">
      <alignment horizontal="center" vertical="center" wrapText="1"/>
    </xf>
    <xf numFmtId="0" fontId="5" fillId="4" borderId="1" applyAlignment="1" pivotButton="0" quotePrefix="0" xfId="0">
      <alignment horizontal="general" vertical="center" wrapText="1"/>
    </xf>
    <xf numFmtId="0" fontId="5" fillId="4" borderId="1" applyAlignment="1" pivotButton="0" quotePrefix="0" xfId="0">
      <alignment horizontal="general" vertical="top" wrapText="1"/>
    </xf>
    <xf numFmtId="3" fontId="7" fillId="2" borderId="1" applyAlignment="1" pivotButton="0" quotePrefix="0" xfId="0">
      <alignment horizontal="center" vertical="center" wrapText="1"/>
    </xf>
    <xf numFmtId="9" fontId="7" fillId="2" borderId="1" applyAlignment="1" pivotButton="0" quotePrefix="0" xfId="0">
      <alignment horizontal="center" vertical="center" wrapText="1"/>
    </xf>
    <xf numFmtId="168" fontId="7" fillId="2" borderId="1" applyAlignment="1" pivotButton="0" quotePrefix="0" xfId="0">
      <alignment horizontal="center" vertical="center" wrapText="1"/>
    </xf>
    <xf numFmtId="0" fontId="11" fillId="2" borderId="1" applyAlignment="1" pivotButton="0" quotePrefix="0" xfId="0">
      <alignment horizontal="general" vertical="top" wrapText="1"/>
    </xf>
    <xf numFmtId="0" fontId="9" fillId="4" borderId="1" applyAlignment="1" pivotButton="0" quotePrefix="0" xfId="0">
      <alignment horizontal="general" vertical="center" wrapText="1"/>
    </xf>
    <xf numFmtId="0" fontId="9" fillId="9" borderId="1" applyAlignment="1" pivotButton="0" quotePrefix="0" xfId="0">
      <alignment horizontal="general" vertical="center" wrapText="1"/>
    </xf>
    <xf numFmtId="0" fontId="5" fillId="9" borderId="1" applyAlignment="1" pivotButton="0" quotePrefix="0" xfId="0">
      <alignment horizontal="general" vertical="center" wrapText="1"/>
    </xf>
    <xf numFmtId="0" fontId="5" fillId="9" borderId="1" applyAlignment="1" pivotButton="0" quotePrefix="0" xfId="0">
      <alignment horizontal="general" vertical="top" wrapText="1"/>
    </xf>
    <xf numFmtId="0" fontId="8" fillId="8"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1A1814"/>
          <bgColor rgb="FF000000"/>
        </patternFill>
      </fill>
    </dxf>
    <dxf>
      <fill>
        <patternFill patternType="solid">
          <fgColor rgb="FFE6F1FB"/>
          <bgColor rgb="FF000000"/>
        </patternFill>
      </fill>
    </dxf>
    <dxf>
      <fill>
        <patternFill patternType="solid">
          <fgColor rgb="FFE9F3EC"/>
          <bgColor rgb="FF000000"/>
        </patternFill>
      </fill>
    </dxf>
    <dxf>
      <fill>
        <patternFill patternType="solid">
          <fgColor rgb="FFF5F2EC"/>
          <bgColor rgb="FF000000"/>
        </patternFill>
      </fill>
    </dxf>
    <dxf>
      <fill>
        <patternFill patternType="solid">
          <fgColor rgb="FFFBE9E7"/>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B3D91"/>
          <bgColor rgb="FF000000"/>
        </patternFill>
      </fill>
    </dxf>
    <dxf>
      <fill>
        <patternFill patternType="solid">
          <fgColor rgb="FFFFF8DC"/>
          <bgColor rgb="FF000000"/>
        </patternFill>
      </fill>
    </dxf>
    <dxf>
      <fill>
        <patternFill patternType="solid">
          <fgColor rgb="FF0000FF"/>
          <bgColor rgb="FF000000"/>
        </patternFill>
      </fill>
    </dxf>
    <dxf>
      <fill>
        <patternFill patternType="solid">
          <fgColor rgb="FF6B6459"/>
          <bgColor rgb="FF000000"/>
        </patternFill>
      </fill>
    </dxf>
    <dxf>
      <font>
        <name val="Arial"/>
        <charset val="1"/>
        <family val="0"/>
        <b val="1"/>
        <color rgb="FFB3261E"/>
        <sz val="10"/>
      </font>
      <fill>
        <patternFill>
          <bgColor rgb="FFFBE9E7"/>
        </patternFill>
      </fill>
    </dxf>
    <dxf>
      <font>
        <name val="Arial"/>
        <charset val="1"/>
        <family val="0"/>
        <b val="1"/>
        <color rgb="FF8A5A00"/>
        <sz val="10"/>
      </font>
      <fill>
        <patternFill>
          <bgColor rgb="FFFDF2DF"/>
        </patternFill>
      </fill>
    </dxf>
    <dxf>
      <font>
        <name val="Arial"/>
        <charset val="1"/>
        <family val="0"/>
        <color rgb="FF1A472A"/>
        <sz val="10"/>
      </font>
      <fill>
        <patternFill>
          <bgColor rgb="FFE9F3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08080"/>
      <rgbColor rgb="FFD8D3C8"/>
      <rgbColor rgb="FF808080"/>
      <rgbColor rgb="FF9999FF"/>
      <rgbColor rgb="FF993366"/>
      <rgbColor rgb="FFFFF8DC"/>
      <rgbColor rgb="FFE6F1FB"/>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E9F3EC"/>
      <rgbColor rgb="FFF5F2EC"/>
      <rgbColor rgb="FFFDF2DF"/>
      <rgbColor rgb="FF99CCFF"/>
      <rgbColor rgb="FFFF99CC"/>
      <rgbColor rgb="FFCC99FF"/>
      <rgbColor rgb="FFFBE9E7"/>
      <rgbColor rgb="FF3366FF"/>
      <rgbColor rgb="FF33CCCC"/>
      <rgbColor rgb="FF99CC00"/>
      <rgbColor rgb="FFFFCC00"/>
      <rgbColor rgb="FFFF9900"/>
      <rgbColor rgb="FFFF6600"/>
      <rgbColor rgb="FF6B6459"/>
      <rgbColor rgb="FF969696"/>
      <rgbColor rgb="FF0B3D91"/>
      <rgbColor rgb="FF339966"/>
      <rgbColor rgb="FF003300"/>
      <rgbColor rgb="FF1A1814"/>
      <rgbColor rgb="FFB3261E"/>
      <rgbColor rgb="FF993366"/>
      <rgbColor rgb="FF333399"/>
      <rgbColor rgb="FF1A472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565C0"/>
    <outlinePr summaryBelow="1" summaryRight="1"/>
    <pageSetUpPr fitToPage="1"/>
  </sheetPr>
  <dimension ref="B2:G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3" min="1" max="1"/>
    <col width="22" customWidth="1" style="73" min="2" max="2"/>
    <col width="28" customWidth="1" style="73" min="3" max="3"/>
    <col width="22" customWidth="1" style="73" min="4" max="4"/>
    <col width="18" customWidth="1" style="73" min="5" max="8"/>
  </cols>
  <sheetData>
    <row r="2" ht="27.75" customHeight="1" s="74">
      <c r="B2" s="75" t="inlineStr">
        <is>
          <t>FOI companion log  ·  Deaf &amp; DeafBlind healthcare access</t>
        </is>
      </c>
    </row>
    <row r="3" ht="31.5" customHeight="1" s="74">
      <c r="B3" s="76" t="inlineStr">
        <is>
          <t>Copy-paste Freedom of Information templates and a live request log for a small volunteer team. Companion to BSL-request-data-gap-tracker.docx. Verified 31 August 2026.</t>
        </is>
      </c>
    </row>
    <row r="5" ht="15.75" customHeight="1" s="74">
      <c r="B5" s="77" t="inlineStr">
        <is>
          <t>How this workbook is meant to be used</t>
        </is>
      </c>
    </row>
    <row r="6" ht="48" customHeight="1" s="74">
      <c r="B6" s="78" t="inlineStr">
        <is>
          <t>1</t>
        </is>
      </c>
      <c r="C6" s="79" t="inlineStr">
        <is>
          <t>Pick a template</t>
        </is>
      </c>
      <c r="D6" s="80" t="inlineStr">
        <is>
          <t>Open the Templates index. Six letters cover ICB activity, hospital trusts, mental-health trusts, council sensory registers, an SWL follow-up, and a short fallback if they refuse on cost.</t>
        </is>
      </c>
      <c r="E6" s="81" t="n"/>
      <c r="F6" s="81" t="n"/>
      <c r="G6" s="81" t="n"/>
    </row>
    <row r="7" ht="48" customHeight="1" s="74">
      <c r="B7" s="78" t="inlineStr">
        <is>
          <t>2</t>
        </is>
      </c>
      <c r="C7" s="79" t="inlineStr">
        <is>
          <t>Open the letter sheet</t>
        </is>
      </c>
      <c r="D7" s="80" t="inlineStr">
        <is>
          <t>Each template is a full letter. Yellow cells at the top are the only bits you change (your name, email, the body you are writing to). The questions stay as written so answers can be compared.</t>
        </is>
      </c>
      <c r="E7" s="81" t="n"/>
      <c r="F7" s="81" t="n"/>
      <c r="G7" s="81" t="n"/>
    </row>
    <row r="8" ht="48" customHeight="1" s="74">
      <c r="B8" s="78" t="inlineStr">
        <is>
          <t>3</t>
        </is>
      </c>
      <c r="C8" s="79" t="inlineStr">
        <is>
          <t>Send it twice if you can</t>
        </is>
      </c>
      <c r="D8" s="80" t="inlineStr">
        <is>
          <t>Paste into the body’s own FOI form or email, and also onto WhatDoTheyKnow so the answer stays public for the next volunteer.</t>
        </is>
      </c>
      <c r="E8" s="81" t="n"/>
      <c r="F8" s="81" t="n"/>
      <c r="G8" s="81" t="n"/>
    </row>
    <row r="9" ht="48" customHeight="1" s="74">
      <c r="B9" s="78" t="inlineStr">
        <is>
          <t>4</t>
        </is>
      </c>
      <c r="C9" s="79" t="inlineStr">
        <is>
          <t>Log it the same day</t>
        </is>
      </c>
      <c r="D9" s="80" t="inlineStr">
        <is>
          <t>Add a row on the Request log sheet. Status starts as Sent. Due date is 20 working days — the sheet calculates it.</t>
        </is>
      </c>
      <c r="E9" s="81" t="n"/>
      <c r="F9" s="81" t="n"/>
      <c r="G9" s="81" t="n"/>
    </row>
    <row r="10" ht="48" customHeight="1" s="74">
      <c r="B10" s="78" t="inlineStr">
        <is>
          <t>5</t>
        </is>
      </c>
      <c r="C10" s="79" t="inlineStr">
        <is>
          <t>File the answer in the same row</t>
        </is>
      </c>
      <c r="D10" s="80" t="inlineStr">
        <is>
          <t>Paste the headline numbers, the exact refusal wording, and the WhatDoTheyKnow link. Do not invent a borough figure from a trust total.</t>
        </is>
      </c>
      <c r="E10" s="81" t="n"/>
      <c r="F10" s="81" t="n"/>
      <c r="G10" s="81" t="n"/>
    </row>
    <row r="12" ht="15.75" customHeight="1" s="74">
      <c r="B12" s="77" t="inlineStr">
        <is>
          <t>Working rules — do not skip these</t>
        </is>
      </c>
    </row>
    <row r="13" ht="21.75" customHeight="1" s="74">
      <c r="B13" s="82" t="inlineStr">
        <is>
          <t>1</t>
        </is>
      </c>
      <c r="C13" s="83" t="inlineStr">
        <is>
          <t>Use a real name. FOI bodies can refuse a pseudonym.</t>
        </is>
      </c>
      <c r="D13" s="81" t="n"/>
      <c r="E13" s="81" t="n"/>
      <c r="F13" s="81" t="n"/>
      <c r="G13" s="81" t="n"/>
    </row>
    <row r="14" ht="21.75" customHeight="1" s="74">
      <c r="B14" s="82" t="inlineStr">
        <is>
          <t>2</t>
        </is>
      </c>
      <c r="C14" s="84" t="inlineStr">
        <is>
          <t>An email address is a valid postal address under the Act.</t>
        </is>
      </c>
      <c r="D14" s="81" t="n"/>
      <c r="E14" s="81" t="n"/>
      <c r="F14" s="81" t="n"/>
      <c r="G14" s="81" t="n"/>
    </row>
    <row r="15" ht="21.75" customHeight="1" s="74">
      <c r="B15" s="82" t="inlineStr">
        <is>
          <t>3</t>
        </is>
      </c>
      <c r="C15" s="83" t="inlineStr">
        <is>
          <t>Ask for requests, not unique patients, and say so. One person can generate several bookings.</t>
        </is>
      </c>
      <c r="D15" s="81" t="n"/>
      <c r="E15" s="81" t="n"/>
      <c r="F15" s="81" t="n"/>
      <c r="G15" s="81" t="n"/>
    </row>
    <row r="16" ht="21.75" customHeight="1" s="74">
      <c r="B16" s="82" t="inlineStr">
        <is>
          <t>4</t>
        </is>
      </c>
      <c r="C16" s="84" t="inlineStr">
        <is>
          <t>Always split British Sign Language from Deafblind / dual-sensory interpreting. Most systems collapse them.</t>
        </is>
      </c>
      <c r="D16" s="81" t="n"/>
      <c r="E16" s="81" t="n"/>
      <c r="F16" s="81" t="n"/>
      <c r="G16" s="81" t="n"/>
    </row>
    <row r="17" ht="21.75" customHeight="1" s="74">
      <c r="B17" s="82" t="inlineStr">
        <is>
          <t>5</t>
        </is>
      </c>
      <c r="C17" s="83" t="inlineStr">
        <is>
          <t>Always split BSL from spoken-language “face-to-face”. Otherwise the number is unusable.</t>
        </is>
      </c>
      <c r="D17" s="81" t="n"/>
      <c r="E17" s="81" t="n"/>
      <c r="F17" s="81" t="n"/>
      <c r="G17" s="81" t="n"/>
    </row>
    <row r="18" ht="21.75" customHeight="1" s="74">
      <c r="B18" s="82" t="inlineStr">
        <is>
          <t>6</t>
        </is>
      </c>
      <c r="C18" s="84" t="inlineStr">
        <is>
          <t>Do not apply Sense’s national Deafblind rate to invent a borough count.</t>
        </is>
      </c>
      <c r="D18" s="81" t="n"/>
      <c r="E18" s="81" t="n"/>
      <c r="F18" s="81" t="n"/>
      <c r="G18" s="81" t="n"/>
    </row>
    <row r="19" ht="21.75" customHeight="1" s="74">
      <c r="B19" s="82" t="inlineStr">
        <is>
          <t>7</t>
        </is>
      </c>
      <c r="C19" s="83" t="inlineStr">
        <is>
          <t>Do not scale the BDA’s 151,000 BSL users down to a borough and call it local data.</t>
        </is>
      </c>
      <c r="D19" s="81" t="n"/>
      <c r="E19" s="81" t="n"/>
      <c r="F19" s="81" t="n"/>
      <c r="G19" s="81" t="n"/>
    </row>
    <row r="20" ht="21.75" customHeight="1" s="74">
      <c r="B20" s="82" t="inlineStr">
        <is>
          <t>8</t>
        </is>
      </c>
      <c r="C20" s="84" t="inlineStr">
        <is>
          <t>Do not add Greater Manchester averages to the SWL 878. Different clock, different question.</t>
        </is>
      </c>
      <c r="D20" s="81" t="n"/>
      <c r="E20" s="81" t="n"/>
      <c r="F20" s="81" t="n"/>
      <c r="G20" s="81" t="n"/>
    </row>
    <row r="21" ht="21.75" customHeight="1" s="74">
      <c r="B21" s="82" t="inlineStr">
        <is>
          <t>9</t>
        </is>
      </c>
      <c r="C21" s="83" t="inlineStr">
        <is>
          <t>"Information not held centrally" usually means the language agency holds it. Use Template T6 / the narrowed letter, and name the contractor.</t>
        </is>
      </c>
      <c r="D21" s="81" t="n"/>
      <c r="E21" s="81" t="n"/>
      <c r="F21" s="81" t="n"/>
      <c r="G21" s="81" t="n"/>
    </row>
    <row r="22" ht="21.75" customHeight="1" s="74">
      <c r="B22" s="82" t="inlineStr">
        <is>
          <t>10</t>
        </is>
      </c>
      <c r="C22" s="84" t="inlineStr">
        <is>
          <t>A gap written down is more useful than a modelled number that looks precise.</t>
        </is>
      </c>
      <c r="D22" s="81" t="n"/>
      <c r="E22" s="81" t="n"/>
      <c r="F22" s="81" t="n"/>
      <c r="G22" s="81" t="n"/>
    </row>
    <row r="23" ht="33.75" customHeight="1" s="74">
      <c r="B23" s="82" t="inlineStr">
        <is>
          <t>11</t>
        </is>
      </c>
      <c r="C23" s="84" t="inlineStr">
        <is>
          <t>The FOI cost limit (Section 12) is £450 for most bodies here (18 hours). A refusal on cost is not a refusal of the topic — send Template T6 to narrow it, don't drop the request.</t>
        </is>
      </c>
      <c r="D23" s="81" t="n"/>
      <c r="E23" s="81" t="n"/>
      <c r="F23" s="81" t="n"/>
      <c r="G23" s="81" t="n"/>
    </row>
    <row r="24" ht="33.75" customHeight="1" s="74">
      <c r="B24" s="82" t="inlineStr">
        <is>
          <t>12</t>
        </is>
      </c>
      <c r="C24" s="85" t="inlineStr">
        <is>
          <t>Community health providers and NHS dentistry sit outside the six templates' named scope. Some community providers are CICs and are not directly FOI-able — ask the commissioning ICB instead.</t>
        </is>
      </c>
      <c r="D24" s="81" t="n"/>
      <c r="E24" s="81" t="n"/>
      <c r="F24" s="81" t="n"/>
      <c r="G24" s="81" t="n"/>
    </row>
    <row r="25" ht="48" customHeight="1" s="74">
      <c r="B25" s="73" t="n"/>
    </row>
    <row r="26" ht="15.75" customHeight="1" s="74">
      <c r="B26" s="77" t="inlineStr">
        <is>
          <t>What “good” looks like — you already have this</t>
        </is>
      </c>
    </row>
    <row r="27" ht="15.75" customHeight="1" s="74">
      <c r="B27" s="86" t="inlineStr">
        <is>
          <t>South West London ICB published 878 GP BSL interpreter requests, October 2024 to June 2025, split by the six boroughs. That is the gold standard. Hospital, mental health, dentistry, social care and fulfilment rates are still missing. Council Deafblind assessments are still missing. This workbook is for those gaps.</t>
        </is>
      </c>
    </row>
    <row r="28" ht="19.5" customHeight="1" s="74">
      <c r="C28" s="73" t="n"/>
    </row>
    <row r="29" ht="19.5" customHeight="1" s="74">
      <c r="B29" s="77" t="inlineStr">
        <is>
          <t>Sheets in this file</t>
        </is>
      </c>
      <c r="C29" s="73" t="n"/>
    </row>
    <row r="30" ht="19.5" customHeight="1" s="74">
      <c r="B30" s="79" t="inlineStr">
        <is>
          <t>How to use</t>
        </is>
      </c>
      <c r="C30" s="84" t="inlineStr">
        <is>
          <t>This page.</t>
        </is>
      </c>
      <c r="D30" s="81" t="n"/>
      <c r="E30" s="81" t="n"/>
      <c r="F30" s="81" t="n"/>
      <c r="G30" s="81" t="n"/>
    </row>
    <row r="31" ht="19.5" customHeight="1" s="74">
      <c r="B31" s="79" t="inlineStr">
        <is>
          <t>Templates</t>
        </is>
      </c>
      <c r="C31" s="84" t="inlineStr">
        <is>
          <t>Index of the six letters, when to send each one, and who it is for.</t>
        </is>
      </c>
      <c r="D31" s="81" t="n"/>
      <c r="E31" s="81" t="n"/>
      <c r="F31" s="81" t="n"/>
      <c r="G31" s="81" t="n"/>
    </row>
    <row r="32" ht="19.5" customHeight="1" s="74">
      <c r="B32" s="79" t="inlineStr">
        <is>
          <t>T1 ICB activity</t>
        </is>
      </c>
      <c r="C32" s="84" t="inlineStr">
        <is>
          <t>Full letter for any ICB that has not published a borough/locality BSL table.</t>
        </is>
      </c>
      <c r="D32" s="81" t="n"/>
      <c r="E32" s="81" t="n"/>
      <c r="F32" s="81" t="n"/>
      <c r="G32" s="81" t="n"/>
    </row>
    <row r="33" ht="19.5" customHeight="1" s="74">
      <c r="B33" s="79" t="inlineStr">
        <is>
          <t>T2 Hospital trust</t>
        </is>
      </c>
      <c r="C33" s="84" t="inlineStr">
        <is>
          <t>Full letter for acute trusts. Counts BSL and Deafblind separately.</t>
        </is>
      </c>
      <c r="D33" s="81" t="n"/>
      <c r="E33" s="81" t="n"/>
      <c r="F33" s="81" t="n"/>
      <c r="G33" s="81" t="n"/>
    </row>
    <row r="34" ht="19.5" customHeight="1" s="74">
      <c r="B34" s="79" t="inlineStr">
        <is>
          <t>T3 Council sensory</t>
        </is>
      </c>
      <c r="C34" s="84" t="inlineStr">
        <is>
          <t>Full letter for the six SWL councils — registers and Deafblind assessments.</t>
        </is>
      </c>
      <c r="D34" s="81" t="n"/>
      <c r="E34" s="81" t="n"/>
      <c r="F34" s="81" t="n"/>
      <c r="G34" s="81" t="n"/>
    </row>
    <row r="35" ht="19.5" customHeight="1" s="74">
      <c r="B35" s="79" t="inlineStr">
        <is>
          <t>T4 SWL follow-up</t>
        </is>
      </c>
      <c r="C35" s="84" t="inlineStr">
        <is>
          <t>Short letter to SWL ICB asking for fulfilment and an update past June 2025.</t>
        </is>
      </c>
      <c r="D35" s="81" t="n"/>
      <c r="E35" s="81" t="n"/>
      <c r="F35" s="81" t="n"/>
      <c r="G35" s="81" t="n"/>
    </row>
    <row r="36" ht="19.5" customHeight="1" s="74">
      <c r="B36" s="79" t="inlineStr">
        <is>
          <t>T5 Mental health</t>
        </is>
      </c>
      <c r="C36" s="84" t="inlineStr">
        <is>
          <t>Full letter for mental-health trusts (SWLSTG first).</t>
        </is>
      </c>
      <c r="D36" s="81" t="n"/>
      <c r="E36" s="81" t="n"/>
      <c r="F36" s="81" t="n"/>
      <c r="G36" s="81" t="n"/>
    </row>
    <row r="37" ht="19.5" customHeight="1" s="74">
      <c r="B37" s="79" t="inlineStr">
        <is>
          <t>T6 Cost fallback</t>
        </is>
      </c>
      <c r="C37" s="84" t="inlineStr">
        <is>
          <t>Short letter if they refuse under section 12 (cost). One year, BSL only.</t>
        </is>
      </c>
      <c r="D37" s="81" t="n"/>
      <c r="E37" s="81" t="n"/>
      <c r="F37" s="81" t="n"/>
      <c r="G37" s="81" t="n"/>
    </row>
    <row r="38" ht="19.5" customHeight="1" s="74">
      <c r="B38" s="79" t="inlineStr">
        <is>
          <t>Request log</t>
        </is>
      </c>
      <c r="C38" s="84" t="inlineStr">
        <is>
          <t>Live tracker. First-wave rows are pre-filled. Status dropdowns. Days-to-due formula.</t>
        </is>
      </c>
      <c r="D38" s="81" t="n"/>
      <c r="E38" s="81" t="n"/>
      <c r="F38" s="81" t="n"/>
      <c r="G38" s="81" t="n"/>
    </row>
    <row r="39" ht="23.25" customHeight="1" s="74">
      <c r="B39" s="79" t="inlineStr">
        <is>
          <t>Contacts</t>
        </is>
      </c>
      <c r="C39" s="84" t="inlineStr">
        <is>
          <t>Bodies, FOI routes, and why each one is on the first wave.</t>
        </is>
      </c>
      <c r="D39" s="87" t="n"/>
      <c r="E39" s="87" t="n"/>
      <c r="F39" s="87" t="n"/>
      <c r="G39" s="87" t="n"/>
    </row>
    <row r="40" ht="34.5" customHeight="1" s="74">
      <c r="B40" s="79" t="inlineStr">
        <is>
          <t>Known data</t>
        </is>
      </c>
      <c r="C40" s="84" t="inlineStr">
        <is>
          <t>The SWL 878 and the GM FOI averages, locked so they are not mixed.</t>
        </is>
      </c>
      <c r="D40" s="87" t="n"/>
      <c r="E40" s="87" t="n"/>
      <c r="F40" s="87" t="n"/>
      <c r="G40" s="87" t="n"/>
    </row>
  </sheetData>
  <mergeCells count="35">
    <mergeCell ref="B2:G2"/>
    <mergeCell ref="C30:G30"/>
    <mergeCell ref="D9:G9"/>
    <mergeCell ref="C34:G34"/>
    <mergeCell ref="C24:G24"/>
    <mergeCell ref="D8:G8"/>
    <mergeCell ref="C15:G15"/>
    <mergeCell ref="C33:G33"/>
    <mergeCell ref="C14:G14"/>
    <mergeCell ref="C29:G29"/>
    <mergeCell ref="C35:G35"/>
    <mergeCell ref="C20:G20"/>
    <mergeCell ref="C16:G16"/>
    <mergeCell ref="C31:G31"/>
    <mergeCell ref="D10:G10"/>
    <mergeCell ref="C22:G22"/>
    <mergeCell ref="C21:G21"/>
    <mergeCell ref="B5:G5"/>
    <mergeCell ref="D6:G6"/>
    <mergeCell ref="B26:G26"/>
    <mergeCell ref="C36:G36"/>
    <mergeCell ref="C23:G23"/>
    <mergeCell ref="C17:G17"/>
    <mergeCell ref="B25:G25"/>
    <mergeCell ref="B3:G3"/>
    <mergeCell ref="C32:G32"/>
    <mergeCell ref="C38:G38"/>
    <mergeCell ref="B27:G27"/>
    <mergeCell ref="C28:G28"/>
    <mergeCell ref="D7:G7"/>
    <mergeCell ref="C19:G19"/>
    <mergeCell ref="C37:G37"/>
    <mergeCell ref="B12:G12"/>
    <mergeCell ref="C13:G13"/>
    <mergeCell ref="C18:G18"/>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&amp;LHow to use</oddHeader>
    <oddFooter>&amp;LDeaf DeafBlind volunteer team  ·  companion to the gap tracker&amp;RPage &amp;P of &amp;N</oddFooter>
    <evenHeader/>
    <evenFooter/>
    <firstHeader/>
    <firstFooter/>
  </headerFooter>
</worksheet>
</file>

<file path=xl/worksheets/sheet2.xml><?xml version="1.0" encoding="utf-8"?>
<worksheet xmlns="http://schemas.openxmlformats.org/spreadsheetml/2006/main">
  <sheetPr filterMode="0">
    <tabColor rgb="FF8A5A00"/>
    <outlinePr summaryBelow="1" summaryRight="1"/>
    <pageSetUpPr fitToPage="1"/>
  </sheetPr>
  <dimension ref="B2:G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3" min="1" max="1"/>
    <col width="16" customWidth="1" style="73" min="2" max="2"/>
    <col width="22" customWidth="1" style="73" min="3" max="3"/>
    <col width="28" customWidth="1" style="73" min="4" max="4"/>
    <col width="36" customWidth="1" style="73" min="5" max="5"/>
    <col width="22" customWidth="1" style="73" min="6" max="6"/>
    <col width="18" customWidth="1" style="73" min="7" max="7"/>
  </cols>
  <sheetData>
    <row r="2" ht="25.5" customHeight="1" s="74">
      <c r="B2" s="88" t="inlineStr">
        <is>
          <t>Copy-paste FOI templates — pick one, do not mix questions</t>
        </is>
      </c>
    </row>
    <row r="3" ht="27.75" customHeight="1" s="74">
      <c r="B3" s="76" t="inlineStr">
        <is>
          <t>Six letters. Use the matching sheet. Yellow cells on each letter sheet are the only fields you edit. Keep the numbered questions identical so answers can sit side by side on the log.</t>
        </is>
      </c>
    </row>
    <row r="5" ht="21.75" customHeight="1" s="74">
      <c r="B5" s="89" t="inlineStr">
        <is>
          <t>Code</t>
        </is>
      </c>
      <c r="C5" s="89" t="inlineStr">
        <is>
          <t>Send to</t>
        </is>
      </c>
      <c r="D5" s="89" t="inlineStr">
        <is>
          <t>Use when</t>
        </is>
      </c>
      <c r="E5" s="89" t="inlineStr">
        <is>
          <t>What it asks</t>
        </is>
      </c>
      <c r="F5" s="89" t="inlineStr">
        <is>
          <t>First-wave target</t>
        </is>
      </c>
      <c r="G5" s="89" t="inlineStr">
        <is>
          <t>Sheet</t>
        </is>
      </c>
    </row>
    <row r="6" ht="72" customHeight="1" s="74">
      <c r="B6" s="78" t="inlineStr">
        <is>
          <t>T1</t>
        </is>
      </c>
      <c r="C6" s="90" t="inlineStr">
        <is>
          <t>Any Integrated Care Board</t>
        </is>
      </c>
      <c r="D6" s="91" t="inlineStr">
        <is>
          <t>No published BSL request table by borough or locality.</t>
        </is>
      </c>
      <c r="E6" s="91" t="inlineStr">
        <is>
          <t>Monthly BSL requests by local authority; fulfilled / cancelled / unfilled; channel; Deafblind separately; supplier; spend.</t>
        </is>
      </c>
      <c r="F6" s="91" t="inlineStr">
        <is>
          <t>SEL ICB, NWL ICB (then NCL, NEL if capacity)</t>
        </is>
      </c>
      <c r="G6" s="90" t="inlineStr">
        <is>
          <t>T1 ICB activity</t>
        </is>
      </c>
    </row>
    <row r="7" ht="72" customHeight="1" s="74">
      <c r="B7" s="78" t="inlineStr">
        <is>
          <t>T2</t>
        </is>
      </c>
      <c r="C7" s="79" t="inlineStr">
        <is>
          <t>Acute / hospital NHS trust</t>
        </is>
      </c>
      <c r="D7" s="92" t="inlineStr">
        <is>
          <t>You need hospital activity. ICB figures are GP-only.</t>
        </is>
      </c>
      <c r="E7" s="92" t="inlineStr">
        <is>
          <t>BSL and Deafblind request / fulfilled / unfulfilled for 24 months; VRS contract; reasons not filled.</t>
        </is>
      </c>
      <c r="F7" s="92" t="inlineStr">
        <is>
          <t>St George’s, Epsom &amp; St Helier, Kingston Hospital, Croydon Health Services</t>
        </is>
      </c>
      <c r="G7" s="79" t="inlineStr">
        <is>
          <t>T2 Hospital trust</t>
        </is>
      </c>
    </row>
    <row r="8" ht="72" customHeight="1" s="74">
      <c r="B8" s="78" t="inlineStr">
        <is>
          <t>T3</t>
        </is>
      </c>
      <c r="C8" s="93" t="inlineStr">
        <is>
          <t>Local authority (council)</t>
        </is>
      </c>
      <c r="D8" s="94" t="inlineStr">
        <is>
          <t>No measured Deafblind or deaf-register figure for the borough.</t>
        </is>
      </c>
      <c r="E8" s="94" t="inlineStr">
        <is>
          <t>Voluntary deaf / HoH register by age; Deafblind assessments last 3 years; MSI / dual-sensory children known to the sensory service.</t>
        </is>
      </c>
      <c r="F8" s="94" t="inlineStr">
        <is>
          <t>Wandsworth, Croydon, Sutton, Merton, Kingston, Richmond</t>
        </is>
      </c>
      <c r="G8" s="93" t="inlineStr">
        <is>
          <t>T3 Council sensory</t>
        </is>
      </c>
    </row>
    <row r="9" ht="72" customHeight="1" s="74">
      <c r="B9" s="78" t="inlineStr">
        <is>
          <t>T4</t>
        </is>
      </c>
      <c r="C9" s="90" t="inlineStr">
        <is>
          <t>NHS South West London ICB only</t>
        </is>
      </c>
      <c r="D9" s="91" t="inlineStr">
        <is>
          <t>You already have the 878 request stock. Fulfilment and anything after June 2025 are missing.</t>
        </is>
      </c>
      <c r="E9" s="91" t="inlineStr">
        <is>
          <t>Update the 878 series; add fulfilment / DNA / supplier-unable; hospital or mental-health if held.</t>
        </is>
      </c>
      <c r="F9" s="91" t="inlineStr">
        <is>
          <t>SWL ICB — swl.igandfoiteam@swlondon.nhs.uk</t>
        </is>
      </c>
      <c r="G9" s="90" t="inlineStr">
        <is>
          <t>T4 SWL follow-up</t>
        </is>
      </c>
    </row>
    <row r="10" ht="72" customHeight="1" s="74">
      <c r="B10" s="78" t="inlineStr">
        <is>
          <t>T5</t>
        </is>
      </c>
      <c r="C10" s="79" t="inlineStr">
        <is>
          <t>Mental-health NHS trust</t>
        </is>
      </c>
      <c r="D10" s="92" t="inlineStr">
        <is>
          <t>Locked Out: only 7.65% of interpreters take mental-health work. SWL map notes Springfield and Tolworth.</t>
        </is>
      </c>
      <c r="E10" s="92" t="inlineStr">
        <is>
          <t>BSL and Deafblind requests for inpatient and community mental health; fulfilment; specialist (Deaf) provision.</t>
        </is>
      </c>
      <c r="F10" s="92" t="inlineStr">
        <is>
          <t>South West London and St George’s Mental Health Trust (SWLSTG)</t>
        </is>
      </c>
      <c r="G10" s="79" t="inlineStr">
        <is>
          <t>T5 Mental health</t>
        </is>
      </c>
    </row>
    <row r="11" ht="72" customHeight="1" s="74">
      <c r="B11" s="78" t="inlineStr">
        <is>
          <t>T6</t>
        </is>
      </c>
      <c r="C11" s="95" t="inlineStr">
        <is>
          <t>Same body that refused T1–T5 on cost</t>
        </is>
      </c>
      <c r="D11" s="96" t="inlineStr">
        <is>
          <t>They cited section 12 (cost limit). Narrow the ask.</t>
        </is>
      </c>
      <c r="E11" s="96" t="inlineStr">
        <is>
          <t>One financial year, BSL only, annual total plus a place split. No spend, no month-by-month.</t>
        </is>
      </c>
      <c r="F11" s="96" t="inlineStr">
        <is>
          <t>Use only after a refusal.</t>
        </is>
      </c>
      <c r="G11" s="95" t="inlineStr">
        <is>
          <t>T6 Cost fallback</t>
        </is>
      </c>
    </row>
    <row r="13" ht="15.75" customHeight="1" s="74">
      <c r="B13" s="97" t="inlineStr">
        <is>
          <t>WhatDoTheyKnow — recommended route</t>
        </is>
      </c>
    </row>
    <row r="14" ht="39.75" customHeight="1" s="74">
      <c r="B14" s="98" t="inlineStr">
        <is>
          <t>https://www.whatdotheyknow.com  — search the body first; if a similar FOI exists, do not duplicate it. If you file there, paste the WhatDoTheyKnow URL into the Request log so the next volunteer can read the answer. You still need a real name.</t>
        </is>
      </c>
    </row>
    <row r="16" ht="15" customHeight="1" s="74">
      <c r="B16" s="99" t="inlineStr">
        <is>
          <t>Legal reminder for volunteers</t>
        </is>
      </c>
    </row>
    <row r="17" ht="51.75" customHeight="1" s="74">
      <c r="B17" s="100" t="inlineStr">
        <is>
          <t>The Freedom of Information Act 2000 covers public authorities in England, Wales and Northern Ireland (Scotland has a separate Act with the same 20-working-day clock). You are asking for recorded information, not for a new analysis. If they hold a spreadsheet the contractor already sends them, they hold it. If they would have to build a new report from thousands of patient records, they may refuse on cost — that is when you send T6.</t>
        </is>
      </c>
    </row>
  </sheetData>
  <mergeCells count="6">
    <mergeCell ref="B3:G3"/>
    <mergeCell ref="B2:G2"/>
    <mergeCell ref="B16:G16"/>
    <mergeCell ref="B14:G14"/>
    <mergeCell ref="B17:G17"/>
    <mergeCell ref="B13:G13"/>
  </mergeCells>
  <printOptions horizontalCentered="0" verticalCentered="0" headings="0" gridLines="0" gridLinesSet="1"/>
  <pageMargins left="0.5" right="0.5" top="0.6" bottom="0.6" header="0.3" footer="0.3"/>
  <pageSetup orientation="landscape" paperSize="9" scale="100" fitToHeight="0" fitToWidth="1" pageOrder="downThenOver" blackAndWhite="0" draft="0" horizontalDpi="300" verticalDpi="300" copies="1"/>
  <headerFooter differentOddEven="0" differentFirst="0">
    <oddHeader>&amp;LFOI templates index</oddHeader>
    <oddFooter>&amp;LDeaf DeafBlind volunteer team  ·  companion to the gap tracker&amp;RPage &amp;P of &amp;N</oddFooter>
    <evenHeader/>
    <evenFooter/>
    <firstHeader/>
    <firstFooter/>
  </headerFooter>
</worksheet>
</file>

<file path=xl/worksheets/sheet3.xml><?xml version="1.0" encoding="utf-8"?>
<worksheet xmlns="http://schemas.openxmlformats.org/spreadsheetml/2006/main">
  <sheetPr filterMode="0">
    <tabColor rgb="FF1565C0"/>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73" min="1" max="1"/>
    <col width="22" customWidth="1" style="73" min="2" max="2"/>
    <col width="88" customWidth="1" style="73" min="3" max="3"/>
  </cols>
  <sheetData>
    <row r="2" ht="25.5" customHeight="1" s="74">
      <c r="B2" s="88" t="inlineStr">
        <is>
          <t>T1  ·  ICB — BSL and Deafblind interpreter activity by place</t>
        </is>
      </c>
    </row>
    <row r="3" ht="19.5" customHeight="1" s="74">
      <c r="B3" s="76" t="inlineStr">
        <is>
          <t>Yellow cells are the only fields you edit. Copy from B16 downwards into the FOI form or WhatDoTheyKnow.</t>
        </is>
      </c>
    </row>
    <row r="5" ht="19.5" customHeight="1" s="74">
      <c r="B5" s="101" t="inlineStr">
        <is>
          <t>Your full name (required)</t>
        </is>
      </c>
      <c r="C5" s="102" t="inlineStr">
        <is>
          <t>Graeme Gordon</t>
        </is>
      </c>
    </row>
    <row r="6" ht="19.5" customHeight="1" s="74">
      <c r="B6" s="101" t="inlineStr">
        <is>
          <t>Your email</t>
        </is>
      </c>
      <c r="C6" s="102" t="inlineStr">
        <is>
          <t>graemebgordon@me.com</t>
        </is>
      </c>
    </row>
    <row r="7" ht="19.5" customHeight="1" s="74">
      <c r="B7" s="101" t="inlineStr">
        <is>
          <t>Today’s date</t>
        </is>
      </c>
      <c r="C7" s="103" t="n">
        <v>46272</v>
      </c>
    </row>
    <row r="8" ht="19.5" customHeight="1" s="74">
      <c r="B8" s="101" t="inlineStr">
        <is>
          <t>Send this letter to</t>
        </is>
      </c>
      <c r="C8" s="102" t="inlineStr">
        <is>
          <t>[Name of Integrated Care Board]</t>
        </is>
      </c>
    </row>
    <row r="9" ht="19.5" customHeight="1" s="74">
      <c r="B9" s="101" t="inlineStr">
        <is>
          <t>FOI route</t>
        </is>
      </c>
      <c r="C9" s="102" t="inlineStr">
        <is>
          <t>ICB FOI page / WhatDoTheyKnow (search the ICB name)</t>
        </is>
      </c>
    </row>
    <row r="10" ht="19.5" customHeight="1" s="74">
      <c r="B10" s="101" t="inlineStr">
        <is>
          <t>Subject line (copy this)</t>
        </is>
      </c>
      <c r="C10" s="102" t="inlineStr">
        <is>
          <t>FOI — British Sign Language and Deafblind interpreter activity, by place</t>
        </is>
      </c>
    </row>
    <row r="12" ht="36" customHeight="1" s="74">
      <c r="B12" s="104" t="inlineStr">
        <is>
          <t>How to send</t>
        </is>
      </c>
      <c r="C12" s="92" t="inlineStr">
        <is>
          <t>1) Replace the yellow fields.  2) Copy everything from the box below.  3) Paste into the body’s FOI email/form and into WhatDoTheyKnow.  4) Log it on the Request log sheet the same day.</t>
        </is>
      </c>
    </row>
    <row r="14" ht="15" customHeight="1" s="74">
      <c r="B14" s="78" t="inlineStr">
        <is>
          <t>COPY FROM HERE</t>
        </is>
      </c>
      <c r="C14" s="105" t="inlineStr">
        <is>
          <t>Full letter — select C15:C31 and copy</t>
        </is>
      </c>
    </row>
    <row r="15" ht="15" customHeight="1" s="74">
      <c r="B15" s="106" t="inlineStr">
        <is>
          <t>Greeting</t>
        </is>
      </c>
      <c r="C15" s="107" t="inlineStr">
        <is>
          <t>Dear Freedom of Information team,</t>
        </is>
      </c>
    </row>
    <row r="16" ht="78" customHeight="1" s="74">
      <c r="B16" s="106" t="inlineStr">
        <is>
          <t>Opening</t>
        </is>
      </c>
      <c r="C16" s="107" t="inlineStr">
        <is>
          <t>I am making this request under the Freedom of Information Act 2000.
I would like recorded information about British Sign Language (BSL) and Deafblind interpreting that the ICB commissions for primary care (GP practices) and, separately, for any other services the ICB commissions.
Please count requests, not unique patients, and state that this is what you have done. One patient can generate several bookings.
Please provide the following recorded information.</t>
        </is>
      </c>
    </row>
    <row r="17" ht="181.5" customHeight="1" s="74">
      <c r="B17" s="108" t="inlineStr">
        <is>
          <t>Numbered questions</t>
        </is>
      </c>
      <c r="C17" s="107" t="inlineStr">
        <is>
          <t>1. The number of British Sign Language (BSL) interpreter requests, by local authority / borough / locality, for each month from October 2024 to the most recent complete month.
2. Of those requests: how many were fulfilled (an interpreter attended); how many were cancelled by the service; how many were cancelled by the patient; how many the supplier could not fill. Please give the main reason codes.
3. A split of the same figures by channel: in-person BSL; video / on-demand BSL; other.
4. The same four fields for Deafblind / deafblind-manual / hands-on / visual-frame interpreting, counted separately from BSL.
5. The name of the current supplier or suppliers, the contract start date, whether spoken-language and non-spoken (BSL) interpreting are on the same contract, and the contracted fulfilment target.
6. Total spend on BSL interpreting and, separately, on Deafblind interpreting, for 2024/25 and for 2025/26 year to date.
7. If you do not hold the activity file, name the contractor who does and confirm whether the ICB can extract it under the contract.</t>
        </is>
      </c>
    </row>
    <row r="18" ht="129.75" customHeight="1" s="74">
      <c r="B18" s="108" t="inlineStr">
        <is>
          <t>Closing instructions</t>
        </is>
      </c>
      <c r="C18" s="107" t="inlineStr">
        <is>
          <t>If a figure is below your usual suppression threshold, please give a band (for example “fewer than 5”) rather than withholding the whole table.
If you do not hold the activity file, please say so clearly, name the contractor who does, and confirm whether the ICB or trust can extract it under the contract. Please do not collapse British Sign Language into “face-to-face” or “non-spoken”, and please do not combine BSL with Deafblind interpreting.
If this request would exceed the cost limit, please advise how I should narrow it rather than refusing in full. A one-year total plus a place split, BSL only, is an acceptable fallback.
Please send the response in a reusable format (CSV or Excel), not a scanned PDF.
Yours faithfully,
Graeme Gordon</t>
        </is>
      </c>
    </row>
    <row r="20" ht="27.75" customHeight="1" s="74">
      <c r="B20" s="109" t="inlineStr">
        <is>
          <t>After you send: add a row on Request log. Status = Sent. Date sent = today. The sheet will calculate the due date (20 working days).</t>
        </is>
      </c>
    </row>
  </sheetData>
  <mergeCells count="3">
    <mergeCell ref="B3:C3"/>
    <mergeCell ref="B20:C20"/>
    <mergeCell ref="B2:C2"/>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&amp;LT1 letter</oddHeader>
    <oddFooter>&amp;LDeaf DeafBlind volunteer team  ·  companion to the gap tracker&amp;RPage &amp;P of &amp;N</oddFooter>
    <evenHeader/>
    <evenFooter/>
    <firstHeader/>
    <firstFooter/>
  </headerFooter>
</worksheet>
</file>

<file path=xl/worksheets/sheet4.xml><?xml version="1.0" encoding="utf-8"?>
<worksheet xmlns="http://schemas.openxmlformats.org/spreadsheetml/2006/main">
  <sheetPr filterMode="0">
    <tabColor rgb="FF1A472A"/>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73" min="1" max="1"/>
    <col width="22" customWidth="1" style="73" min="2" max="2"/>
    <col width="88" customWidth="1" style="73" min="3" max="3"/>
  </cols>
  <sheetData>
    <row r="2" ht="25.5" customHeight="1" s="74">
      <c r="B2" s="88" t="inlineStr">
        <is>
          <t>T2  ·  Hospital trust — BSL and Deafblind interpreter activity</t>
        </is>
      </c>
    </row>
    <row r="3" ht="19.5" customHeight="1" s="74">
      <c r="B3" s="76" t="inlineStr">
        <is>
          <t>Yellow cells are the only fields you edit. Copy from B16 downwards into the FOI form or WhatDoTheyKnow.</t>
        </is>
      </c>
    </row>
    <row r="5" ht="19.5" customHeight="1" s="74">
      <c r="B5" s="101" t="inlineStr">
        <is>
          <t>Your full name (required)</t>
        </is>
      </c>
      <c r="C5" s="102" t="inlineStr">
        <is>
          <t>Graeme Gordon</t>
        </is>
      </c>
    </row>
    <row r="6" ht="19.5" customHeight="1" s="74">
      <c r="B6" s="101" t="inlineStr">
        <is>
          <t>Your email</t>
        </is>
      </c>
      <c r="C6" s="102" t="inlineStr">
        <is>
          <t>graemebgordon@me.com</t>
        </is>
      </c>
    </row>
    <row r="7" ht="19.5" customHeight="1" s="74">
      <c r="B7" s="101" t="inlineStr">
        <is>
          <t>Today’s date</t>
        </is>
      </c>
      <c r="C7" s="103" t="n">
        <v>46272</v>
      </c>
    </row>
    <row r="8" ht="19.5" customHeight="1" s="74">
      <c r="B8" s="101" t="inlineStr">
        <is>
          <t>Send this letter to</t>
        </is>
      </c>
      <c r="C8" s="102" t="inlineStr">
        <is>
          <t>[Name of NHS Trust]</t>
        </is>
      </c>
    </row>
    <row r="9" ht="19.5" customHeight="1" s="74">
      <c r="B9" s="101" t="inlineStr">
        <is>
          <t>FOI route</t>
        </is>
      </c>
      <c r="C9" s="102" t="inlineStr">
        <is>
          <t>Trust FOI page / WhatDoTheyKnow (search the trust name)</t>
        </is>
      </c>
    </row>
    <row r="10" ht="19.5" customHeight="1" s="74">
      <c r="B10" s="101" t="inlineStr">
        <is>
          <t>Subject line (copy this)</t>
        </is>
      </c>
      <c r="C10" s="102" t="inlineStr">
        <is>
          <t>FOI — British Sign Language and Deafblind interpreter requests at this Trust</t>
        </is>
      </c>
    </row>
    <row r="12" ht="36" customHeight="1" s="74">
      <c r="B12" s="104" t="inlineStr">
        <is>
          <t>How to send</t>
        </is>
      </c>
      <c r="C12" s="92" t="inlineStr">
        <is>
          <t>1) Replace the yellow fields.  2) Copy everything from the box below.  3) Paste into the body’s FOI email/form and into WhatDoTheyKnow.  4) Log it on the Request log sheet the same day.</t>
        </is>
      </c>
    </row>
    <row r="14" ht="15" customHeight="1" s="74">
      <c r="B14" s="78" t="inlineStr">
        <is>
          <t>COPY FROM HERE</t>
        </is>
      </c>
      <c r="C14" s="105" t="inlineStr">
        <is>
          <t>Full letter — select C15:C31 and copy</t>
        </is>
      </c>
    </row>
    <row r="15" ht="15" customHeight="1" s="74">
      <c r="B15" s="106" t="inlineStr">
        <is>
          <t>Greeting</t>
        </is>
      </c>
      <c r="C15" s="107" t="inlineStr">
        <is>
          <t>Dear Freedom of Information team,</t>
        </is>
      </c>
    </row>
    <row r="16" ht="78" customHeight="1" s="74">
      <c r="B16" s="106" t="inlineStr">
        <is>
          <t>Opening</t>
        </is>
      </c>
      <c r="C16" s="107" t="inlineStr">
        <is>
          <t>I am making this request under the Freedom of Information Act 2000.
I would like recorded information about British Sign Language (BSL) and Deafblind interpreting used for patients and carers at this Trust, including emergency, outpatient and inpatient settings.
Please count requests, not unique patients, and state that this is what you have done.
Please provide the following recorded information.</t>
        </is>
      </c>
    </row>
    <row r="17" ht="181.5" customHeight="1" s="74">
      <c r="B17" s="108" t="inlineStr">
        <is>
          <t>Numbered questions</t>
        </is>
      </c>
      <c r="C17" s="107" t="inlineStr">
        <is>
          <t>1. The number of BSL interpreter requests in each of the last 24 complete months, and how many of those were fulfilled, cancelled by the Trust, cancelled by the patient, or unfilled by the supplier.
2. The same figures for Deafblind / deafblind-manual / hands-on / visual-frame interpreting, counted separately from BSL.
3. A split of BSL requests by channel (in-person; video / on-demand / VRS; other) if held.
4. Whether the Trust has a contract for a video relay service (VRS) or on-demand video BSL, and the supplier name.
5. The main recorded reasons why requests were not fulfilled (for example: no interpreter available; short notice; patient DNA; booking error).
6. Whether the Trust employs any BSL or Deafblind interpreters directly, and if so how many whole-time equivalents.
7. Total spend on BSL interpreting and on Deafblind interpreting in 2024/25 and 2025/26 year to date, if held separately from spoken-language interpreting.</t>
        </is>
      </c>
    </row>
    <row r="18" ht="129.75" customHeight="1" s="74">
      <c r="B18" s="108" t="inlineStr">
        <is>
          <t>Closing instructions</t>
        </is>
      </c>
      <c r="C18" s="107" t="inlineStr">
        <is>
          <t>If a figure is below your usual suppression threshold, please give a band (for example “fewer than 5”) rather than withholding the whole table.
If you do not hold the activity file, please say so clearly, name the contractor who does, and confirm whether the ICB or trust can extract it under the contract. Please do not collapse British Sign Language into “face-to-face” or “non-spoken”, and please do not combine BSL with Deafblind interpreting.
If this request would exceed the cost limit, please advise how I should narrow it rather than refusing in full. A one-year total plus a place split, BSL only, is an acceptable fallback.
Please send the response in a reusable format (CSV or Excel), not a scanned PDF.
Yours faithfully,
Graeme Gordon</t>
        </is>
      </c>
    </row>
    <row r="20" ht="27.75" customHeight="1" s="74">
      <c r="B20" s="109" t="inlineStr">
        <is>
          <t>After you send: add a row on Request log. Status = Sent. Date sent = today. The sheet will calculate the due date (20 working days).</t>
        </is>
      </c>
    </row>
  </sheetData>
  <mergeCells count="3">
    <mergeCell ref="B3:C3"/>
    <mergeCell ref="B20:C20"/>
    <mergeCell ref="B2:C2"/>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&amp;LT2 letter</oddHeader>
    <oddFooter>&amp;LDeaf DeafBlind volunteer team  ·  companion to the gap tracker&amp;RPage &amp;P of &amp;N</oddFooter>
    <evenHeader/>
    <evenFooter/>
    <firstHeader/>
    <firstFooter/>
  </headerFooter>
</worksheet>
</file>

<file path=xl/worksheets/sheet5.xml><?xml version="1.0" encoding="utf-8"?>
<worksheet xmlns="http://schemas.openxmlformats.org/spreadsheetml/2006/main">
  <sheetPr filterMode="0">
    <tabColor rgb="FF8A5A00"/>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73" min="1" max="1"/>
    <col width="22" customWidth="1" style="73" min="2" max="2"/>
    <col width="88" customWidth="1" style="73" min="3" max="3"/>
  </cols>
  <sheetData>
    <row r="2" ht="25.5" customHeight="1" s="74">
      <c r="B2" s="88" t="inlineStr">
        <is>
          <t>T3  ·  Council — deaf register and Deafblind assessments</t>
        </is>
      </c>
    </row>
    <row r="3" ht="19.5" customHeight="1" s="74">
      <c r="B3" s="76" t="inlineStr">
        <is>
          <t>Yellow cells are the only fields you edit. Copy from B16 downwards into the FOI form or WhatDoTheyKnow.</t>
        </is>
      </c>
    </row>
    <row r="5" ht="19.5" customHeight="1" s="74">
      <c r="B5" s="101" t="inlineStr">
        <is>
          <t>Your full name (required)</t>
        </is>
      </c>
      <c r="C5" s="102" t="inlineStr">
        <is>
          <t>Graeme Gordon</t>
        </is>
      </c>
    </row>
    <row r="6" ht="19.5" customHeight="1" s="74">
      <c r="B6" s="101" t="inlineStr">
        <is>
          <t>Your email</t>
        </is>
      </c>
      <c r="C6" s="102" t="inlineStr">
        <is>
          <t>graemebgordon@me.com</t>
        </is>
      </c>
    </row>
    <row r="7" ht="19.5" customHeight="1" s="74">
      <c r="B7" s="101" t="inlineStr">
        <is>
          <t>Today’s date</t>
        </is>
      </c>
      <c r="C7" s="103" t="n">
        <v>46272</v>
      </c>
    </row>
    <row r="8" ht="19.5" customHeight="1" s="74">
      <c r="B8" s="101" t="inlineStr">
        <is>
          <t>Send this letter to</t>
        </is>
      </c>
      <c r="C8" s="102" t="inlineStr">
        <is>
          <t>[Name of London Borough Council]</t>
        </is>
      </c>
    </row>
    <row r="9" ht="19.5" customHeight="1" s="74">
      <c r="B9" s="101" t="inlineStr">
        <is>
          <t>FOI route</t>
        </is>
      </c>
      <c r="C9" s="102" t="inlineStr">
        <is>
          <t>Council FOI page / WhatDoTheyKnow (search the council name)</t>
        </is>
      </c>
    </row>
    <row r="10" ht="19.5" customHeight="1" s="74">
      <c r="B10" s="101" t="inlineStr">
        <is>
          <t>Subject line (copy this)</t>
        </is>
      </c>
      <c r="C10" s="102" t="inlineStr">
        <is>
          <t>FOI — deaf / hard-of-hearing register and Deafblind assessments</t>
        </is>
      </c>
    </row>
    <row r="12" ht="36" customHeight="1" s="74">
      <c r="B12" s="104" t="inlineStr">
        <is>
          <t>How to send</t>
        </is>
      </c>
      <c r="C12" s="92" t="inlineStr">
        <is>
          <t>1) Replace the yellow fields.  2) Copy everything from the box below.  3) Paste into the body’s FOI email/form and into WhatDoTheyKnow.  4) Log it on the Request log sheet the same day.</t>
        </is>
      </c>
    </row>
    <row r="14" ht="15" customHeight="1" s="74">
      <c r="B14" s="78" t="inlineStr">
        <is>
          <t>COPY FROM HERE</t>
        </is>
      </c>
      <c r="C14" s="105" t="inlineStr">
        <is>
          <t>Full letter — select C15:C31 and copy</t>
        </is>
      </c>
    </row>
    <row r="15" ht="15" customHeight="1" s="74">
      <c r="B15" s="106" t="inlineStr">
        <is>
          <t>Greeting</t>
        </is>
      </c>
      <c r="C15" s="107" t="inlineStr">
        <is>
          <t>Dear Freedom of Information team,</t>
        </is>
      </c>
    </row>
    <row r="16" ht="78" customHeight="1" s="74">
      <c r="B16" s="106" t="inlineStr">
        <is>
          <t>Opening</t>
        </is>
      </c>
      <c r="C16" s="107" t="inlineStr">
        <is>
          <t>I am making this request under the Freedom of Information Act 2000.
I would like recorded information held by the council’s adult social care / sensory impairment service about deaf, hard-of-hearing and Deafblind residents. Registration is voluntary; I understand the register will be incomplete. I am asking for the recorded stock and the recorded assessments, not for an estimate.
Please provide the following recorded information.</t>
        </is>
      </c>
    </row>
    <row r="17" ht="181.5" customHeight="1" s="74">
      <c r="B17" s="108" t="inlineStr">
        <is>
          <t>Numbered questions</t>
        </is>
      </c>
      <c r="C17" s="107" t="inlineStr">
        <is>
          <t>1. The number of people currently on the council’s voluntary register of people who are deaf or hard of hearing, broken down by the age bands the council already uses (for example 0–17, 18–64, 65–74, 75+). Please say the date of the extract.
2. Whether people who are also registered blind or partially sighted are included on that register, excluded, or counted separately. Please give the separate count if you hold it.
3. The number of Deafblind / dual-sensory-loss assessments completed under the Care Act 2014 and the Care and Support for Deafblind Children and Adults guidance in each of the last three complete financial years.
4. The number of people currently known to the sensory service as Deafblind or dual-sensory impaired, if the council keeps such a list, with the date of the extract.
5. The number of children and young people with multi-sensory impairment (MSI) or dual-sensory loss known to the council’s children’s sensory / SEND service, and whether the council employs an MSI teacher (yes / no / hours per week).
6. Whether the council commissions BSL or Deafblind interpreting for social-care assessments and reviews; the supplier name; and the number of such interpreting assignments in the last complete financial year, if held.
7. If any of the above is not held, please say so for each question rather than refusing the whole request.</t>
        </is>
      </c>
    </row>
    <row r="18" ht="150" customHeight="1" s="74">
      <c r="B18" s="108" t="inlineStr">
        <is>
          <t>Closing instructions</t>
        </is>
      </c>
      <c r="C18" s="107" t="inlineStr">
        <is>
          <t>If a figure is below your usual suppression threshold, please give a band (for example “fewer than 5”) rather than withholding the whole table.
If any of this is not held, please say so for each question rather than refusing the whole request, and name any other council team or system that might hold it.
If this request would exceed the cost limit, please advise how I should narrow it. The current register total, plus the count of Deafblind assessments in the most recent complete financial year, is an acceptable fallback.
Please send the response in a reusable format (CSV or Excel), not a scanned PDF.
Yours faithfully,
Graeme Gordon</t>
        </is>
      </c>
    </row>
    <row r="20" ht="27.75" customHeight="1" s="74">
      <c r="B20" s="109" t="inlineStr">
        <is>
          <t>After you send: add a row on Request log. Status = Sent. Date sent = today. The sheet will calculate the due date (20 working days).</t>
        </is>
      </c>
    </row>
  </sheetData>
  <mergeCells count="3">
    <mergeCell ref="B3:C3"/>
    <mergeCell ref="B20:C20"/>
    <mergeCell ref="B2:C2"/>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&amp;LT3 letter</oddHeader>
    <oddFooter>&amp;LDeaf DeafBlind volunteer team  ·  companion to the gap tracker&amp;RPage &amp;P of &amp;N</oddFooter>
    <evenHeader/>
    <evenFooter/>
    <firstHeader/>
    <firstFooter/>
  </headerFooter>
</worksheet>
</file>

<file path=xl/worksheets/sheet6.xml><?xml version="1.0" encoding="utf-8"?>
<worksheet xmlns="http://schemas.openxmlformats.org/spreadsheetml/2006/main">
  <sheetPr filterMode="0">
    <tabColor rgb="FF1565C0"/>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73" min="1" max="1"/>
    <col width="22" customWidth="1" style="73" min="2" max="2"/>
    <col width="88" customWidth="1" style="73" min="3" max="3"/>
  </cols>
  <sheetData>
    <row r="2" ht="25.5" customHeight="1" s="74">
      <c r="B2" s="88" t="inlineStr">
        <is>
          <t>T4  ·  SWL ICB follow-up — fulfilment and update past June 2025</t>
        </is>
      </c>
    </row>
    <row r="3" ht="19.5" customHeight="1" s="74">
      <c r="B3" s="76" t="inlineStr">
        <is>
          <t>Yellow cells are the only fields you edit. Copy from B16 downwards into the FOI form or WhatDoTheyKnow.</t>
        </is>
      </c>
    </row>
    <row r="5" ht="19.5" customHeight="1" s="74">
      <c r="B5" s="101" t="inlineStr">
        <is>
          <t>Your full name (required)</t>
        </is>
      </c>
      <c r="C5" s="102" t="inlineStr">
        <is>
          <t>Graeme Gordon</t>
        </is>
      </c>
    </row>
    <row r="6" ht="19.5" customHeight="1" s="74">
      <c r="B6" s="101" t="inlineStr">
        <is>
          <t>Your email</t>
        </is>
      </c>
      <c r="C6" s="102" t="inlineStr">
        <is>
          <t>graemebgordon@me.com</t>
        </is>
      </c>
    </row>
    <row r="7" ht="19.5" customHeight="1" s="74">
      <c r="B7" s="101" t="inlineStr">
        <is>
          <t>Today’s date</t>
        </is>
      </c>
      <c r="C7" s="103" t="n">
        <v>46272</v>
      </c>
    </row>
    <row r="8" ht="19.5" customHeight="1" s="74">
      <c r="B8" s="101" t="inlineStr">
        <is>
          <t>Send this letter to</t>
        </is>
      </c>
      <c r="C8" s="102" t="inlineStr">
        <is>
          <t>NHS South West London Integrated Care Board</t>
        </is>
      </c>
    </row>
    <row r="9" ht="19.5" customHeight="1" s="74">
      <c r="B9" s="101" t="inlineStr">
        <is>
          <t>FOI route</t>
        </is>
      </c>
      <c r="C9" s="102" t="inlineStr">
        <is>
          <t>swl.igandfoiteam@swlondon.nhs.uk  ·  https://www.southwestlondon.icb.nhs.uk/contact/freedom-of-information-requests/  ·  WhatDoTheyKnow</t>
        </is>
      </c>
    </row>
    <row r="10" ht="19.5" customHeight="1" s="74">
      <c r="B10" s="101" t="inlineStr">
        <is>
          <t>Subject line (copy this)</t>
        </is>
      </c>
      <c r="C10" s="102" t="inlineStr">
        <is>
          <t>FOI — update to GP BSL interpreter requests and fulfilment (follow-up to the 878 figure)</t>
        </is>
      </c>
    </row>
    <row r="12" ht="36" customHeight="1" s="74">
      <c r="B12" s="104" t="inlineStr">
        <is>
          <t>How to send</t>
        </is>
      </c>
      <c r="C12" s="92" t="inlineStr">
        <is>
          <t>1) Replace the yellow fields.  2) Copy everything from the box below.  3) Paste into the body’s FOI email/form and into WhatDoTheyKnow.  4) Log it on the Request log sheet the same day.</t>
        </is>
      </c>
    </row>
    <row r="14" ht="15" customHeight="1" s="74">
      <c r="B14" s="78" t="inlineStr">
        <is>
          <t>COPY FROM HERE</t>
        </is>
      </c>
      <c r="C14" s="105" t="inlineStr">
        <is>
          <t>Full letter — select C15:C30 and copy</t>
        </is>
      </c>
    </row>
    <row r="15" ht="15" customHeight="1" s="74">
      <c r="B15" s="106" t="inlineStr">
        <is>
          <t>Greeting</t>
        </is>
      </c>
      <c r="C15" s="107" t="inlineStr">
        <is>
          <t>Dear Freedom of Information team,</t>
        </is>
      </c>
    </row>
    <row r="16" ht="78" customHeight="1" s="74">
      <c r="B16" s="106" t="inlineStr">
        <is>
          <t>Opening</t>
        </is>
      </c>
      <c r="C16" s="107" t="inlineStr">
        <is>
          <t>I am making this request under the Freedom of Information Act 2000.
Healthwatch South West London has published that the ICB received 878 requests for BSL interpretation from GP practices between October 2024 and June 2025, split Wandsworth 466, Croydon 185, Sutton 72, Merton 68, Kingston 61, Richmond 26.
I am not asking you to repeat that table. I am asking for the recorded fulfilment data that sits behind it, and for any later months you now hold.
Please provide the following recorded information.</t>
        </is>
      </c>
    </row>
    <row r="17" ht="159.75" customHeight="1" s="74">
      <c r="B17" s="108" t="inlineStr">
        <is>
          <t>Numbered questions</t>
        </is>
      </c>
      <c r="C17" s="107" t="inlineStr">
        <is>
          <t>1. For the same October 2024 to June 2025 GP BSL requests: how many were fulfilled (interpreter attended), cancelled by the practice, cancelled by the patient, or unfilled by the supplier, by borough if held.
2. The same request and fulfilment figures for July 2025 to the most recent complete month, by borough.
3. A split by channel for the whole period: in-person BSL versus video / on-demand BSL.
4. Any recorded GP requests for Deafblind interpreting in the same period, counted separately from BSL.
5. Whether the ICB holds equivalent request and fulfilment figures for hospital, community or mental-health services in South West London. If yes, please provide them. If no, please name the trusts that would hold them.
6. The current GP interpreting supplier, contract start date, and the contracted fulfilment target for BSL.</t>
        </is>
      </c>
    </row>
    <row r="18" ht="129.75" customHeight="1" s="74">
      <c r="B18" s="108" t="inlineStr">
        <is>
          <t>Closing instructions</t>
        </is>
      </c>
      <c r="C18" s="107" t="inlineStr">
        <is>
          <t>If a figure is below your usual suppression threshold, please give a band (for example “fewer than 5”) rather than withholding the whole table.
If you do not hold the activity file, please say so clearly, name the contractor who does, and confirm whether the ICB or trust can extract it under the contract. Please do not collapse British Sign Language into “face-to-face” or “non-spoken”, and please do not combine BSL with Deafblind interpreting.
If this request would exceed the cost limit, please advise how I should narrow it rather than refusing in full. A one-year total plus a place split, BSL only, is an acceptable fallback.
Please send the response in a reusable format (CSV or Excel), not a scanned PDF.
Yours faithfully,
Graeme Gordon</t>
        </is>
      </c>
    </row>
    <row r="20" ht="27.75" customHeight="1" s="74">
      <c r="B20" s="109" t="inlineStr">
        <is>
          <t>After you send: add a row on Request log. Status = Sent. Date sent = today. The sheet will calculate the due date (20 working days).</t>
        </is>
      </c>
    </row>
  </sheetData>
  <mergeCells count="3">
    <mergeCell ref="B3:C3"/>
    <mergeCell ref="B20:C20"/>
    <mergeCell ref="B2:C2"/>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&amp;LT4 letter</oddHeader>
    <oddFooter>&amp;LDeaf DeafBlind volunteer team  ·  companion to the gap tracker&amp;RPage &amp;P of &amp;N</oddFooter>
    <evenHeader/>
    <evenFooter/>
    <firstHeader/>
    <firstFooter/>
  </headerFooter>
</worksheet>
</file>

<file path=xl/worksheets/sheet7.xml><?xml version="1.0" encoding="utf-8"?>
<worksheet xmlns="http://schemas.openxmlformats.org/spreadsheetml/2006/main">
  <sheetPr filterMode="0">
    <tabColor rgb="FFB3261E"/>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73" min="1" max="1"/>
    <col width="22" customWidth="1" style="73" min="2" max="2"/>
    <col width="88" customWidth="1" style="73" min="3" max="3"/>
  </cols>
  <sheetData>
    <row r="2" ht="25.5" customHeight="1" s="74">
      <c r="B2" s="88" t="inlineStr">
        <is>
          <t>T5  ·  Mental-health trust — BSL and Deafblind access</t>
        </is>
      </c>
    </row>
    <row r="3" ht="19.5" customHeight="1" s="74">
      <c r="B3" s="76" t="inlineStr">
        <is>
          <t>Yellow cells are the only fields you edit. Copy from B16 downwards into the FOI form or WhatDoTheyKnow.</t>
        </is>
      </c>
    </row>
    <row r="5" ht="19.5" customHeight="1" s="74">
      <c r="B5" s="101" t="inlineStr">
        <is>
          <t>Your full name (required)</t>
        </is>
      </c>
      <c r="C5" s="102" t="inlineStr">
        <is>
          <t>Graeme Gordon</t>
        </is>
      </c>
    </row>
    <row r="6" ht="19.5" customHeight="1" s="74">
      <c r="B6" s="101" t="inlineStr">
        <is>
          <t>Your email</t>
        </is>
      </c>
      <c r="C6" s="102" t="inlineStr">
        <is>
          <t>graemebgordon@me.com</t>
        </is>
      </c>
    </row>
    <row r="7" ht="19.5" customHeight="1" s="74">
      <c r="B7" s="101" t="inlineStr">
        <is>
          <t>Today’s date</t>
        </is>
      </c>
      <c r="C7" s="103" t="n">
        <v>46272</v>
      </c>
    </row>
    <row r="8" ht="19.5" customHeight="1" s="74">
      <c r="B8" s="101" t="inlineStr">
        <is>
          <t>Send this letter to</t>
        </is>
      </c>
      <c r="C8" s="102" t="inlineStr">
        <is>
          <t>South West London and St George’s Mental Health NHS Trust</t>
        </is>
      </c>
    </row>
    <row r="9" ht="19.5" customHeight="1" s="74">
      <c r="B9" s="101" t="inlineStr">
        <is>
          <t>FOI route</t>
        </is>
      </c>
      <c r="C9" s="102" t="inlineStr">
        <is>
          <t>Trust FOI page / WhatDoTheyKnow (search SWLSTG)</t>
        </is>
      </c>
    </row>
    <row r="10" ht="19.5" customHeight="1" s="74">
      <c r="B10" s="101" t="inlineStr">
        <is>
          <t>Subject line (copy this)</t>
        </is>
      </c>
      <c r="C10" s="102" t="inlineStr">
        <is>
          <t>FOI — British Sign Language and Deafblind interpreting in mental-health services</t>
        </is>
      </c>
    </row>
    <row r="12" ht="36" customHeight="1" s="74">
      <c r="B12" s="104" t="inlineStr">
        <is>
          <t>How to send</t>
        </is>
      </c>
      <c r="C12" s="92" t="inlineStr">
        <is>
          <t>1) Replace the yellow fields.  2) Copy everything from the box below.  3) Paste into the body’s FOI email/form and into WhatDoTheyKnow.  4) Log it on the Request log sheet the same day.</t>
        </is>
      </c>
    </row>
    <row r="14" ht="15" customHeight="1" s="74">
      <c r="B14" s="78" t="inlineStr">
        <is>
          <t>COPY FROM HERE</t>
        </is>
      </c>
      <c r="C14" s="105" t="inlineStr">
        <is>
          <t>Full letter — select C15:C31 and copy</t>
        </is>
      </c>
    </row>
    <row r="15" ht="15" customHeight="1" s="74">
      <c r="B15" s="106" t="inlineStr">
        <is>
          <t>Greeting</t>
        </is>
      </c>
      <c r="C15" s="107" t="inlineStr">
        <is>
          <t>Dear Freedom of Information team,</t>
        </is>
      </c>
    </row>
    <row r="16" ht="78" customHeight="1" s="74">
      <c r="B16" s="106" t="inlineStr">
        <is>
          <t>Opening</t>
        </is>
      </c>
      <c r="C16" s="107" t="inlineStr">
        <is>
          <t>I am making this request under the Freedom of Information Act 2000.
I would like recorded information about British Sign Language (BSL) and Deafblind interpreting used for patients and carers in this Trust’s inpatient, community and crisis services. Springfield University Hospital (Wandsworth) and Tolworth Hospital (Kingston) sit in the South West London ICB footprint.
Please count requests, not unique patients.
Please provide the following recorded information.</t>
        </is>
      </c>
    </row>
    <row r="17" ht="181.5" customHeight="1" s="74">
      <c r="B17" s="108" t="inlineStr">
        <is>
          <t>Numbered questions</t>
        </is>
      </c>
      <c r="C17" s="107" t="inlineStr">
        <is>
          <t>1. The number of BSL interpreter requests in each of the last 24 complete months, split if held between inpatient, community / outpatient, and crisis / liaison.
2. Of those requests: fulfilled, cancelled by the Trust, cancelled by the patient, unfilled by the supplier, with main reason codes.
3. The same figures for Deafblind interpreting, counted separately.
4. Whether the Trust uses a specialist Deaf mental-health interpreting provider (for example an agency experienced in mental ill-health interpretation) as well as a general language agency. Please name the supplier or suppliers.
5. Whether the Trust has any dedicated Deaf / BSL mental-health pathway, ward, clinic or liaison post, and a short description of what is recorded.
6. Whether the Trust has a VRS or on-demand video BSL contract.
7. Total spend on BSL interpreting and on Deafblind interpreting in 2024/25 and 2025/26 year to date, if held separately.</t>
        </is>
      </c>
    </row>
    <row r="18" ht="129.75" customHeight="1" s="74">
      <c r="B18" s="108" t="inlineStr">
        <is>
          <t>Closing instructions</t>
        </is>
      </c>
      <c r="C18" s="107" t="inlineStr">
        <is>
          <t>If a figure is below your usual suppression threshold, please give a band (for example “fewer than 5”) rather than withholding the whole table.
If you do not hold the activity file, please say so clearly, name the contractor who does, and confirm whether the ICB or trust can extract it under the contract. Please do not collapse British Sign Language into “face-to-face” or “non-spoken”, and please do not combine BSL with Deafblind interpreting.
If this request would exceed the cost limit, please advise how I should narrow it rather than refusing in full. A one-year total plus a place split, BSL only, is an acceptable fallback.
Please send the response in a reusable format (CSV or Excel), not a scanned PDF.
Yours faithfully,
Graeme Gordon</t>
        </is>
      </c>
    </row>
    <row r="20" ht="27.75" customHeight="1" s="74">
      <c r="B20" s="109" t="inlineStr">
        <is>
          <t>After you send: add a row on Request log. Status = Sent. Date sent = today. The sheet will calculate the due date (20 working days).</t>
        </is>
      </c>
    </row>
  </sheetData>
  <mergeCells count="3">
    <mergeCell ref="B3:C3"/>
    <mergeCell ref="B20:C20"/>
    <mergeCell ref="B2:C2"/>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&amp;LT5 letter</oddHeader>
    <oddFooter>&amp;LDeaf DeafBlind volunteer team  ·  companion to the gap tracker&amp;RPage &amp;P of &amp;N</oddFooter>
    <evenHeader/>
    <evenFooter/>
    <firstHeader/>
    <firstFooter/>
  </headerFooter>
</worksheet>
</file>

<file path=xl/worksheets/sheet8.xml><?xml version="1.0" encoding="utf-8"?>
<worksheet xmlns="http://schemas.openxmlformats.org/spreadsheetml/2006/main">
  <sheetPr filterMode="0">
    <tabColor rgb="FF6B6459"/>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73" min="1" max="1"/>
    <col width="22" customWidth="1" style="73" min="2" max="2"/>
    <col width="88" customWidth="1" style="73" min="3" max="3"/>
  </cols>
  <sheetData>
    <row r="2" ht="25.5" customHeight="1" s="74">
      <c r="B2" s="88" t="inlineStr">
        <is>
          <t>T6  ·  Cost-limit fallback — one year, BSL only</t>
        </is>
      </c>
    </row>
    <row r="3" ht="19.5" customHeight="1" s="74">
      <c r="B3" s="76" t="inlineStr">
        <is>
          <t>Yellow cells are the only fields you edit. Copy from B16 downwards into the FOI form or WhatDoTheyKnow.</t>
        </is>
      </c>
    </row>
    <row r="5" ht="19.5" customHeight="1" s="74">
      <c r="B5" s="101" t="inlineStr">
        <is>
          <t>Your full name (required)</t>
        </is>
      </c>
      <c r="C5" s="102" t="inlineStr">
        <is>
          <t>Graeme Gordon</t>
        </is>
      </c>
    </row>
    <row r="6" ht="19.5" customHeight="1" s="74">
      <c r="B6" s="101" t="inlineStr">
        <is>
          <t>Your email</t>
        </is>
      </c>
      <c r="C6" s="102" t="inlineStr">
        <is>
          <t>graemebgordon@me.com</t>
        </is>
      </c>
    </row>
    <row r="7" ht="19.5" customHeight="1" s="74">
      <c r="B7" s="101" t="inlineStr">
        <is>
          <t>Today’s date</t>
        </is>
      </c>
      <c r="C7" s="103" t="n">
        <v>46272</v>
      </c>
    </row>
    <row r="8" ht="19.5" customHeight="1" s="74">
      <c r="B8" s="101" t="inlineStr">
        <is>
          <t>Send this letter to</t>
        </is>
      </c>
      <c r="C8" s="102" t="inlineStr">
        <is>
          <t>[Same body that refused the longer request]</t>
        </is>
      </c>
    </row>
    <row r="9" ht="19.5" customHeight="1" s="74">
      <c r="B9" s="101" t="inlineStr">
        <is>
          <t>FOI route</t>
        </is>
      </c>
      <c r="C9" s="102" t="inlineStr">
        <is>
          <t>Reply to their section 12 refusal, quoting their FOI reference</t>
        </is>
      </c>
    </row>
    <row r="10" ht="19.5" customHeight="1" s="74">
      <c r="B10" s="101" t="inlineStr">
        <is>
          <t>Subject line (copy this)</t>
        </is>
      </c>
      <c r="C10" s="102" t="inlineStr">
        <is>
          <t>FOI — narrowed request following your section 12 refusal, [their reference]</t>
        </is>
      </c>
    </row>
    <row r="12" ht="36" customHeight="1" s="74">
      <c r="B12" s="104" t="inlineStr">
        <is>
          <t>How to send</t>
        </is>
      </c>
      <c r="C12" s="92" t="inlineStr">
        <is>
          <t>1) Replace the yellow fields.  2) Copy everything from the box below.  3) Paste into the body’s FOI email/form and into WhatDoTheyKnow.  4) Log it on the Request log sheet the same day.</t>
        </is>
      </c>
    </row>
    <row r="14" ht="15" customHeight="1" s="74">
      <c r="B14" s="78" t="inlineStr">
        <is>
          <t>COPY FROM HERE</t>
        </is>
      </c>
      <c r="C14" s="105" t="inlineStr">
        <is>
          <t>Full letter — select C15:C28 and copy</t>
        </is>
      </c>
    </row>
    <row r="15" ht="15" customHeight="1" s="74">
      <c r="B15" s="106" t="inlineStr">
        <is>
          <t>Greeting</t>
        </is>
      </c>
      <c r="C15" s="107" t="inlineStr">
        <is>
          <t>Dear Freedom of Information team,</t>
        </is>
      </c>
    </row>
    <row r="16" ht="78" customHeight="1" s="74">
      <c r="B16" s="106" t="inlineStr">
        <is>
          <t>Opening</t>
        </is>
      </c>
      <c r="C16" s="107" t="inlineStr">
        <is>
          <t>I am making this request under the Freedom of Information Act 2000.
Thank you for your response to my request [insert their FOI reference]. You refused it under section 12 of the Freedom of Information Act (cost limit). I am narrowing the request as you invited.
Please now provide only the following, for one period and for British Sign Language only.
Please provide the following recorded information.</t>
        </is>
      </c>
    </row>
    <row r="17" ht="115.5" customHeight="1" s="74">
      <c r="B17" s="108" t="inlineStr">
        <is>
          <t>Numbered questions</t>
        </is>
      </c>
      <c r="C17" s="107" t="inlineStr">
        <is>
          <t>1. The total number of BSL interpreter requests in the last complete financial year (or the last 12 complete months, if easier).
2. A split of that total by local authority / borough / locality if you are an ICB, or a single Trust-wide total if you are a Trust.
3. How many of those requests were fulfilled.
4. Please confirm the period you have used.</t>
        </is>
      </c>
    </row>
    <row r="18" ht="129.75" customHeight="1" s="74">
      <c r="B18" s="108" t="inlineStr">
        <is>
          <t>Closing instructions</t>
        </is>
      </c>
      <c r="C18" s="107" t="inlineStr">
        <is>
          <t>If a figure is below your usual suppression threshold, please give a band (for example “fewer than 5”) rather than withholding the whole table.
If you do not hold this narrower dataset either, please say so clearly and name the contractor who does. Please do not collapse British Sign Language into “face-to-face” or “non-spoken”, and please do not combine BSL with Deafblind interpreting.
Please send the response in a reusable format (CSV or Excel), not a scanned PDF.
Yours faithfully,
Graeme Gordon</t>
        </is>
      </c>
    </row>
    <row r="20" ht="27.75" customHeight="1" s="74">
      <c r="B20" s="109" t="inlineStr">
        <is>
          <t>After you send: add a row on Request log. Status = Sent. Date sent = today. The sheet will calculate the due date (20 working days).</t>
        </is>
      </c>
    </row>
  </sheetData>
  <mergeCells count="3">
    <mergeCell ref="B3:C3"/>
    <mergeCell ref="B20:C20"/>
    <mergeCell ref="B2:C2"/>
  </mergeCells>
  <printOptions horizontalCentered="0" verticalCentered="0" headings="0" gridLines="0" gridLinesSet="1"/>
  <pageMargins left="0.5" right="0.5" top="0.6" bottom="0.6" header="0.3" footer="0.3"/>
  <pageSetup orientation="portrait" paperSize="9" scale="100" fitToHeight="0" fitToWidth="1" pageOrder="downThenOver" blackAndWhite="0" draft="0" horizontalDpi="300" verticalDpi="300" copies="1"/>
  <headerFooter differentOddEven="0" differentFirst="0">
    <oddHeader>&amp;LT6 letter</oddHeader>
    <oddFooter>&amp;LDeaf DeafBlind volunteer team  ·  companion to the gap tracker&amp;RPage &amp;P of &amp;N</oddFooter>
    <evenHeader/>
    <evenFooter/>
    <firstHeader/>
    <firstFooter/>
  </headerFooter>
</worksheet>
</file>

<file path=xl/worksheets/sheet9.xml><?xml version="1.0" encoding="utf-8"?>
<worksheet xmlns="http://schemas.openxmlformats.org/spreadsheetml/2006/main">
  <sheetPr filterMode="0">
    <tabColor rgb="FFB3261E"/>
    <outlinePr summaryBelow="1" summaryRight="1"/>
    <pageSetUpPr fitToPage="1"/>
  </sheetPr>
  <dimension ref="A1:U4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73" min="1" max="1"/>
    <col width="11" customWidth="1" style="73" min="2" max="2"/>
    <col width="36" customWidth="1" style="73" min="3" max="3"/>
    <col width="14" customWidth="1" style="73" min="4" max="4"/>
    <col width="28" customWidth="1" style="73" min="5" max="5"/>
    <col width="14" customWidth="1" style="73" min="6" max="6"/>
    <col width="13" customWidth="1" style="73" min="7" max="8"/>
    <col width="16" customWidth="1" style="73" min="9" max="9"/>
    <col width="12" customWidth="1" style="73" min="10" max="10"/>
    <col width="18" customWidth="1" style="73" min="11" max="11"/>
    <col width="28" customWidth="1" style="73" min="12" max="12"/>
    <col width="22" customWidth="1" style="73" min="13" max="13"/>
    <col width="18" customWidth="1" style="73" min="14" max="14"/>
    <col width="36" customWidth="1" style="73" min="15" max="15"/>
    <col width="28" customWidth="1" style="73" min="16" max="16"/>
    <col width="16" customWidth="1" style="73" min="17" max="17"/>
    <col width="22" customWidth="1" style="73" min="18" max="18"/>
    <col width="16" customWidth="1" style="73" min="19" max="19"/>
    <col hidden="1" width="13" customWidth="1" style="73" min="21" max="21"/>
  </cols>
  <sheetData>
    <row r="1" ht="24" customHeight="1" s="74">
      <c r="A1" s="88" t="inlineStr">
        <is>
          <t>Request log  ·  first-wave rows are pre-filled  ·  add a row when you send  ·  do not delete the header</t>
        </is>
      </c>
    </row>
    <row r="2" ht="27.75" customHeight="1" s="74">
      <c r="A2" s="76" t="inlineStr">
        <is>
          <t>Status uses a dropdown. Due date = 20 working days after Date sent. Days left turns red when overdue. Yellow cells are for you to type. Known public figures stay on the Known data sheet — do not paste them here as if they were new FOI answers.</t>
        </is>
      </c>
    </row>
    <row r="4" ht="27.75" customHeight="1" s="74">
      <c r="A4" s="104" t="inlineStr">
        <is>
          <t>ID</t>
        </is>
      </c>
      <c r="B4" s="104" t="inlineStr">
        <is>
          <t>Template</t>
        </is>
      </c>
      <c r="C4" s="104" t="inlineStr">
        <is>
          <t>Body</t>
        </is>
      </c>
      <c r="D4" s="104" t="inlineStr">
        <is>
          <t>Type</t>
        </is>
      </c>
      <c r="E4" s="104" t="inlineStr">
        <is>
          <t>What we asked in one line</t>
        </is>
      </c>
      <c r="F4" s="104" t="inlineStr">
        <is>
          <t>Status</t>
        </is>
      </c>
      <c r="G4" s="104" t="inlineStr">
        <is>
          <t>Date sent</t>
        </is>
      </c>
      <c r="H4" s="104" t="inlineStr">
        <is>
          <t>Due date</t>
        </is>
      </c>
      <c r="I4" s="104" t="inlineStr">
        <is>
          <t>Days left</t>
        </is>
      </c>
      <c r="J4" s="104" t="inlineStr">
        <is>
          <t>Date answered</t>
        </is>
      </c>
      <c r="K4" s="104" t="inlineStr">
        <is>
          <t>Outcome</t>
        </is>
      </c>
      <c r="L4" s="104" t="inlineStr">
        <is>
          <t>Headline numbers (or exact refusal wording)</t>
        </is>
      </c>
      <c r="M4" s="104" t="inlineStr">
        <is>
          <t>Period covered</t>
        </is>
      </c>
      <c r="N4" s="104" t="inlineStr">
        <is>
          <t>Geography held?</t>
        </is>
      </c>
      <c r="O4" s="104" t="inlineStr">
        <is>
          <t>WhatDoTheyKnow / PDF link</t>
        </is>
      </c>
      <c r="P4" s="104" t="inlineStr">
        <is>
          <t>Volunteer</t>
        </is>
      </c>
      <c r="Q4" s="104" t="inlineStr">
        <is>
          <t>Follow-up needed?</t>
        </is>
      </c>
      <c r="R4" s="104" t="inlineStr">
        <is>
          <t>Notes</t>
        </is>
      </c>
      <c r="S4" s="104" t="inlineStr">
        <is>
          <t>WDTK searched first?</t>
        </is>
      </c>
      <c r="U4" s="110" t="inlineStr">
        <is>
          <t>UK bank holidays (England &amp; Wales) — used by Due date formula. Do not delete or move this list.</t>
        </is>
      </c>
    </row>
    <row r="5" ht="36" customHeight="1" s="74">
      <c r="A5" s="111" t="n">
        <v>1</v>
      </c>
      <c r="B5" s="112" t="inlineStr">
        <is>
          <t>T4</t>
        </is>
      </c>
      <c r="C5" s="102" t="inlineStr">
        <is>
          <t>NHS South West London ICB</t>
        </is>
      </c>
      <c r="D5" s="102" t="inlineStr">
        <is>
          <t>ICB</t>
        </is>
      </c>
      <c r="E5" s="113" t="inlineStr">
        <is>
          <t>Fulfilment behind the 878 + months after Jun 2025 + Deafblind + other settings</t>
        </is>
      </c>
      <c r="F5" s="112" t="inlineStr">
        <is>
          <t>Not sent</t>
        </is>
      </c>
      <c r="G5" s="114" t="n"/>
      <c r="H5" s="115">
        <f>IF(G5="","",WORKDAY(G5,20,$U$5:$U$28))</f>
        <v/>
      </c>
      <c r="I5" s="116">
        <f>IF(H5="","",H5-TODAY())</f>
        <v/>
      </c>
      <c r="J5" s="114" t="n"/>
      <c r="K5" s="102" t="inlineStr">
        <is>
          <t>—</t>
        </is>
      </c>
      <c r="L5" s="113" t="n"/>
      <c r="M5" s="102" t="n"/>
      <c r="N5" s="102" t="inlineStr">
        <is>
          <t>—</t>
        </is>
      </c>
      <c r="O5" s="113" t="n"/>
      <c r="P5" s="102" t="n"/>
      <c r="Q5" s="112" t="inlineStr">
        <is>
          <t>No</t>
        </is>
      </c>
      <c r="R5" s="108" t="inlineStr">
        <is>
          <t>GP BSL by 6 boroughs already public (878). Fulfilment not public.</t>
        </is>
      </c>
      <c r="S5" s="112" t="n"/>
      <c r="U5" s="117" t="n">
        <v>45658</v>
      </c>
    </row>
    <row r="6" ht="36" customHeight="1" s="74">
      <c r="A6" s="111" t="n">
        <v>2</v>
      </c>
      <c r="B6" s="112" t="inlineStr">
        <is>
          <t>T3</t>
        </is>
      </c>
      <c r="C6" s="102" t="inlineStr">
        <is>
          <t>London Borough of Wandsworth</t>
        </is>
      </c>
      <c r="D6" s="102" t="inlineStr">
        <is>
          <t>Council</t>
        </is>
      </c>
      <c r="E6" s="113" t="inlineStr">
        <is>
          <t>Deaf/HoH register by age; Deafblind assessments 3 years; MSI children; social-care interpreting</t>
        </is>
      </c>
      <c r="F6" s="112" t="inlineStr">
        <is>
          <t>Not sent</t>
        </is>
      </c>
      <c r="G6" s="114" t="n"/>
      <c r="H6" s="115">
        <f>IF(G6="","",WORKDAY(G6,20,$U$5:$U$28))</f>
        <v/>
      </c>
      <c r="I6" s="116">
        <f>IF(H6="","",H6-TODAY())</f>
        <v/>
      </c>
      <c r="J6" s="114" t="n"/>
      <c r="K6" s="102" t="inlineStr">
        <is>
          <t>—</t>
        </is>
      </c>
      <c r="L6" s="113" t="n"/>
      <c r="M6" s="102" t="n"/>
      <c r="N6" s="102" t="inlineStr">
        <is>
          <t>—</t>
        </is>
      </c>
      <c r="O6" s="113" t="n"/>
      <c r="P6" s="102" t="n"/>
      <c r="Q6" s="112" t="inlineStr">
        <is>
          <t>No</t>
        </is>
      </c>
      <c r="R6" s="108" t="inlineStr">
        <is>
          <t>Highest BSL request volume. Two Deaf care homes + Oak Lodge.</t>
        </is>
      </c>
      <c r="S6" s="112" t="n"/>
      <c r="U6" s="117" t="n">
        <v>45765</v>
      </c>
    </row>
    <row r="7" ht="36" customHeight="1" s="74">
      <c r="A7" s="111" t="n">
        <v>3</v>
      </c>
      <c r="B7" s="112" t="inlineStr">
        <is>
          <t>T3</t>
        </is>
      </c>
      <c r="C7" s="102" t="inlineStr">
        <is>
          <t>London Borough of Croydon</t>
        </is>
      </c>
      <c r="D7" s="102" t="inlineStr">
        <is>
          <t>Council</t>
        </is>
      </c>
      <c r="E7" s="113" t="inlineStr">
        <is>
          <t>Deaf/HoH register by age; Deafblind assessments 3 years; MSI children; social-care interpreting</t>
        </is>
      </c>
      <c r="F7" s="112" t="inlineStr">
        <is>
          <t>Not sent</t>
        </is>
      </c>
      <c r="G7" s="114" t="n"/>
      <c r="H7" s="115">
        <f>IF(G7="","",WORKDAY(G7,20,$U$5:$U$28))</f>
        <v/>
      </c>
      <c r="I7" s="116">
        <f>IF(H7="","",H7-TODAY())</f>
        <v/>
      </c>
      <c r="J7" s="114" t="n"/>
      <c r="K7" s="102" t="inlineStr">
        <is>
          <t>—</t>
        </is>
      </c>
      <c r="L7" s="113" t="n"/>
      <c r="M7" s="102" t="n"/>
      <c r="N7" s="102" t="inlineStr">
        <is>
          <t>—</t>
        </is>
      </c>
      <c r="O7" s="113" t="n"/>
      <c r="P7" s="102" t="n"/>
      <c r="Q7" s="112" t="inlineStr">
        <is>
          <t>No</t>
        </is>
      </c>
      <c r="R7" s="108" t="inlineStr">
        <is>
          <t>Largest borough. RAD caseworker + Hearing Resource Centre.</t>
        </is>
      </c>
      <c r="S7" s="112" t="n"/>
      <c r="U7" s="117" t="n">
        <v>45768</v>
      </c>
    </row>
    <row r="8" ht="36" customHeight="1" s="74">
      <c r="A8" s="111" t="n">
        <v>4</v>
      </c>
      <c r="B8" s="112" t="inlineStr">
        <is>
          <t>T3</t>
        </is>
      </c>
      <c r="C8" s="102" t="inlineStr">
        <is>
          <t>London Borough of Sutton</t>
        </is>
      </c>
      <c r="D8" s="102" t="inlineStr">
        <is>
          <t>Council</t>
        </is>
      </c>
      <c r="E8" s="113" t="inlineStr">
        <is>
          <t>Deaf/HoH register by age; Deafblind assessments 3 years; MSI children; social-care interpreting</t>
        </is>
      </c>
      <c r="F8" s="112" t="inlineStr">
        <is>
          <t>Not sent</t>
        </is>
      </c>
      <c r="G8" s="114" t="n"/>
      <c r="H8" s="115">
        <f>IF(G8="","",WORKDAY(G8,20,$U$5:$U$28))</f>
        <v/>
      </c>
      <c r="I8" s="116">
        <f>IF(H8="","",H8-TODAY())</f>
        <v/>
      </c>
      <c r="J8" s="114" t="n"/>
      <c r="K8" s="102" t="inlineStr">
        <is>
          <t>—</t>
        </is>
      </c>
      <c r="L8" s="113" t="n"/>
      <c r="M8" s="102" t="n"/>
      <c r="N8" s="102" t="inlineStr">
        <is>
          <t>—</t>
        </is>
      </c>
      <c r="O8" s="113" t="n"/>
      <c r="P8" s="102" t="n"/>
      <c r="Q8" s="112" t="inlineStr">
        <is>
          <t>No</t>
        </is>
      </c>
      <c r="R8" s="108" t="inlineStr">
        <is>
          <t>Highest SWL hearing-loss prevalence (15.4%) but only 72 BSL requests.</t>
        </is>
      </c>
      <c r="S8" s="112" t="n"/>
      <c r="U8" s="117" t="n">
        <v>45782</v>
      </c>
    </row>
    <row r="9" ht="36" customHeight="1" s="74">
      <c r="A9" s="111" t="n">
        <v>5</v>
      </c>
      <c r="B9" s="112" t="inlineStr">
        <is>
          <t>T3</t>
        </is>
      </c>
      <c r="C9" s="102" t="inlineStr">
        <is>
          <t>London Borough of Merton</t>
        </is>
      </c>
      <c r="D9" s="102" t="inlineStr">
        <is>
          <t>Council</t>
        </is>
      </c>
      <c r="E9" s="113" t="inlineStr">
        <is>
          <t>Deaf/HoH register by age; Deafblind assessments 3 years; MSI children; social-care interpreting</t>
        </is>
      </c>
      <c r="F9" s="112" t="inlineStr">
        <is>
          <t>Not sent</t>
        </is>
      </c>
      <c r="G9" s="114" t="n"/>
      <c r="H9" s="115">
        <f>IF(G9="","",WORKDAY(G9,20,$U$5:$U$28))</f>
        <v/>
      </c>
      <c r="I9" s="116">
        <f>IF(H9="","",H9-TODAY())</f>
        <v/>
      </c>
      <c r="J9" s="114" t="n"/>
      <c r="K9" s="102" t="inlineStr">
        <is>
          <t>—</t>
        </is>
      </c>
      <c r="L9" s="113" t="n"/>
      <c r="M9" s="102" t="n"/>
      <c r="N9" s="102" t="inlineStr">
        <is>
          <t>—</t>
        </is>
      </c>
      <c r="O9" s="113" t="n"/>
      <c r="P9" s="102" t="n"/>
      <c r="Q9" s="112" t="inlineStr">
        <is>
          <t>No</t>
        </is>
      </c>
      <c r="R9" s="108" t="inlineStr">
        <is>
          <t>Merton Centre for Independent Living (Deaf-led DPO).</t>
        </is>
      </c>
      <c r="S9" s="112" t="n"/>
      <c r="U9" s="117" t="n">
        <v>45803</v>
      </c>
    </row>
    <row r="10" ht="36" customHeight="1" s="74">
      <c r="A10" s="111" t="n">
        <v>6</v>
      </c>
      <c r="B10" s="112" t="inlineStr">
        <is>
          <t>T3</t>
        </is>
      </c>
      <c r="C10" s="102" t="inlineStr">
        <is>
          <t>Royal Borough of Kingston upon Thames</t>
        </is>
      </c>
      <c r="D10" s="102" t="inlineStr">
        <is>
          <t>Council</t>
        </is>
      </c>
      <c r="E10" s="113" t="inlineStr">
        <is>
          <t>Deaf/HoH register by age; Deafblind assessments 3 years; MSI children; social-care interpreting</t>
        </is>
      </c>
      <c r="F10" s="112" t="inlineStr">
        <is>
          <t>Not sent</t>
        </is>
      </c>
      <c r="G10" s="114" t="n"/>
      <c r="H10" s="115">
        <f>IF(G10="","",WORKDAY(G10,20,$U$5:$U$28))</f>
        <v/>
      </c>
      <c r="I10" s="116">
        <f>IF(H10="","",H10-TODAY())</f>
        <v/>
      </c>
      <c r="J10" s="114" t="n"/>
      <c r="K10" s="102" t="inlineStr">
        <is>
          <t>—</t>
        </is>
      </c>
      <c r="L10" s="113" t="n"/>
      <c r="M10" s="102" t="n"/>
      <c r="N10" s="102" t="inlineStr">
        <is>
          <t>—</t>
        </is>
      </c>
      <c r="O10" s="113" t="n"/>
      <c r="P10" s="102" t="n"/>
      <c r="Q10" s="112" t="inlineStr">
        <is>
          <t>No</t>
        </is>
      </c>
      <c r="R10" s="108" t="inlineStr">
        <is>
          <t>Smallest borough. Tolworth Hospital (SWLSTG) sits here.</t>
        </is>
      </c>
      <c r="S10" s="112" t="n"/>
      <c r="U10" s="117" t="n">
        <v>45894</v>
      </c>
    </row>
    <row r="11" ht="36" customHeight="1" s="74">
      <c r="A11" s="111" t="n">
        <v>7</v>
      </c>
      <c r="B11" s="112" t="inlineStr">
        <is>
          <t>T3</t>
        </is>
      </c>
      <c r="C11" s="102" t="inlineStr">
        <is>
          <t>London Borough of Richmond upon Thames</t>
        </is>
      </c>
      <c r="D11" s="102" t="inlineStr">
        <is>
          <t>Council</t>
        </is>
      </c>
      <c r="E11" s="113" t="inlineStr">
        <is>
          <t>Deaf/HoH register by age; Deafblind assessments 3 years; MSI children; social-care interpreting</t>
        </is>
      </c>
      <c r="F11" s="112" t="inlineStr">
        <is>
          <t>Not sent</t>
        </is>
      </c>
      <c r="G11" s="114" t="n"/>
      <c r="H11" s="115">
        <f>IF(G11="","",WORKDAY(G11,20,$U$5:$U$28))</f>
        <v/>
      </c>
      <c r="I11" s="116">
        <f>IF(H11="","",H11-TODAY())</f>
        <v/>
      </c>
      <c r="J11" s="114" t="n"/>
      <c r="K11" s="102" t="inlineStr">
        <is>
          <t>—</t>
        </is>
      </c>
      <c r="L11" s="113" t="n"/>
      <c r="M11" s="102" t="n"/>
      <c r="N11" s="102" t="inlineStr">
        <is>
          <t>—</t>
        </is>
      </c>
      <c r="O11" s="113" t="n"/>
      <c r="P11" s="102" t="n"/>
      <c r="Q11" s="112" t="inlineStr">
        <is>
          <t>No</t>
        </is>
      </c>
      <c r="R11" s="108" t="inlineStr">
        <is>
          <t>Lowest BSL request volume (26). Reason unknown — access gap or lower need.</t>
        </is>
      </c>
      <c r="S11" s="112" t="n"/>
      <c r="U11" s="117" t="n">
        <v>46016</v>
      </c>
    </row>
    <row r="12" ht="36" customHeight="1" s="74">
      <c r="A12" s="111" t="n">
        <v>8</v>
      </c>
      <c r="B12" s="112" t="inlineStr">
        <is>
          <t>T2</t>
        </is>
      </c>
      <c r="C12" s="102" t="inlineStr">
        <is>
          <t>St George’s University Hospitals NHS Foundation Trust</t>
        </is>
      </c>
      <c r="D12" s="102" t="inlineStr">
        <is>
          <t>Acute trust</t>
        </is>
      </c>
      <c r="E12" s="113" t="inlineStr">
        <is>
          <t>BSL + Deafblind requests / fulfilment last 24 months; VRS; reasons unfilled</t>
        </is>
      </c>
      <c r="F12" s="112" t="inlineStr">
        <is>
          <t>Not sent</t>
        </is>
      </c>
      <c r="G12" s="114" t="n"/>
      <c r="H12" s="115">
        <f>IF(G12="","",WORKDAY(G12,20,$U$5:$U$28))</f>
        <v/>
      </c>
      <c r="I12" s="116">
        <f>IF(H12="","",H12-TODAY())</f>
        <v/>
      </c>
      <c r="J12" s="114" t="n"/>
      <c r="K12" s="102" t="inlineStr">
        <is>
          <t>—</t>
        </is>
      </c>
      <c r="L12" s="113" t="n"/>
      <c r="M12" s="102" t="n"/>
      <c r="N12" s="102" t="inlineStr">
        <is>
          <t>—</t>
        </is>
      </c>
      <c r="O12" s="113" t="n"/>
      <c r="P12" s="102" t="n"/>
      <c r="Q12" s="112" t="inlineStr">
        <is>
          <t>No</t>
        </is>
      </c>
      <c r="R12" s="108" t="inlineStr">
        <is>
          <t>Major acute site for Wandsworth / Merton.</t>
        </is>
      </c>
      <c r="S12" s="112" t="n"/>
      <c r="U12" s="117" t="n">
        <v>46017</v>
      </c>
    </row>
    <row r="13" ht="36" customHeight="1" s="74">
      <c r="A13" s="111" t="n">
        <v>9</v>
      </c>
      <c r="B13" s="112" t="inlineStr">
        <is>
          <t>T2</t>
        </is>
      </c>
      <c r="C13" s="102" t="inlineStr">
        <is>
          <t>Epsom and St Helier University Hospitals NHS Trust</t>
        </is>
      </c>
      <c r="D13" s="102" t="inlineStr">
        <is>
          <t>Acute trust</t>
        </is>
      </c>
      <c r="E13" s="113" t="inlineStr">
        <is>
          <t>BSL + Deafblind requests / fulfilment last 24 months; VRS; reasons unfilled</t>
        </is>
      </c>
      <c r="F13" s="112" t="inlineStr">
        <is>
          <t>Not sent</t>
        </is>
      </c>
      <c r="G13" s="114" t="n"/>
      <c r="H13" s="115">
        <f>IF(G13="","",WORKDAY(G13,20,$U$5:$U$28))</f>
        <v/>
      </c>
      <c r="I13" s="116">
        <f>IF(H13="","",H13-TODAY())</f>
        <v/>
      </c>
      <c r="J13" s="114" t="n"/>
      <c r="K13" s="102" t="inlineStr">
        <is>
          <t>—</t>
        </is>
      </c>
      <c r="L13" s="113" t="n"/>
      <c r="M13" s="102" t="n"/>
      <c r="N13" s="102" t="inlineStr">
        <is>
          <t>—</t>
        </is>
      </c>
      <c r="O13" s="113" t="n"/>
      <c r="P13" s="102" t="n"/>
      <c r="Q13" s="112" t="inlineStr">
        <is>
          <t>No</t>
        </is>
      </c>
      <c r="R13" s="108" t="inlineStr">
        <is>
          <t>Covers Sutton and parts of Merton / east SWL.</t>
        </is>
      </c>
      <c r="S13" s="112" t="n"/>
      <c r="U13" s="117" t="n">
        <v>46023</v>
      </c>
    </row>
    <row r="14" ht="36" customHeight="1" s="74">
      <c r="A14" s="111" t="n">
        <v>10</v>
      </c>
      <c r="B14" s="112" t="inlineStr">
        <is>
          <t>T2</t>
        </is>
      </c>
      <c r="C14" s="102" t="inlineStr">
        <is>
          <t>Kingston Hospital NHS Foundation Trust</t>
        </is>
      </c>
      <c r="D14" s="102" t="inlineStr">
        <is>
          <t>Acute trust</t>
        </is>
      </c>
      <c r="E14" s="113" t="inlineStr">
        <is>
          <t>BSL + Deafblind requests / fulfilment last 24 months; VRS; reasons unfilled</t>
        </is>
      </c>
      <c r="F14" s="112" t="inlineStr">
        <is>
          <t>Not sent</t>
        </is>
      </c>
      <c r="G14" s="114" t="n"/>
      <c r="H14" s="115">
        <f>IF(G14="","",WORKDAY(G14,20,$U$5:$U$28))</f>
        <v/>
      </c>
      <c r="I14" s="116">
        <f>IF(H14="","",H14-TODAY())</f>
        <v/>
      </c>
      <c r="J14" s="114" t="n"/>
      <c r="K14" s="102" t="inlineStr">
        <is>
          <t>—</t>
        </is>
      </c>
      <c r="L14" s="113" t="n"/>
      <c r="M14" s="102" t="n"/>
      <c r="N14" s="102" t="inlineStr">
        <is>
          <t>—</t>
        </is>
      </c>
      <c r="O14" s="113" t="n"/>
      <c r="P14" s="102" t="n"/>
      <c r="Q14" s="112" t="inlineStr">
        <is>
          <t>No</t>
        </is>
      </c>
      <c r="R14" s="108" t="inlineStr">
        <is>
          <t>Covers Kingston and Richmond.</t>
        </is>
      </c>
      <c r="S14" s="112" t="n"/>
      <c r="U14" s="117" t="n">
        <v>46115</v>
      </c>
    </row>
    <row r="15" ht="36" customHeight="1" s="74">
      <c r="A15" s="111" t="n">
        <v>11</v>
      </c>
      <c r="B15" s="112" t="inlineStr">
        <is>
          <t>T2</t>
        </is>
      </c>
      <c r="C15" s="102" t="inlineStr">
        <is>
          <t>Croydon Health Services NHS Trust</t>
        </is>
      </c>
      <c r="D15" s="102" t="inlineStr">
        <is>
          <t>Acute trust</t>
        </is>
      </c>
      <c r="E15" s="113" t="inlineStr">
        <is>
          <t>BSL + Deafblind requests / fulfilment last 24 months; VRS; reasons unfilled</t>
        </is>
      </c>
      <c r="F15" s="112" t="inlineStr">
        <is>
          <t>Not sent</t>
        </is>
      </c>
      <c r="G15" s="114" t="n"/>
      <c r="H15" s="115">
        <f>IF(G15="","",WORKDAY(G15,20,$U$5:$U$28))</f>
        <v/>
      </c>
      <c r="I15" s="116">
        <f>IF(H15="","",H15-TODAY())</f>
        <v/>
      </c>
      <c r="J15" s="114" t="n"/>
      <c r="K15" s="102" t="inlineStr">
        <is>
          <t>—</t>
        </is>
      </c>
      <c r="L15" s="113" t="n"/>
      <c r="M15" s="102" t="n"/>
      <c r="N15" s="102" t="inlineStr">
        <is>
          <t>—</t>
        </is>
      </c>
      <c r="O15" s="113" t="n"/>
      <c r="P15" s="102" t="n"/>
      <c r="Q15" s="112" t="inlineStr">
        <is>
          <t>No</t>
        </is>
      </c>
      <c r="R15" s="108" t="inlineStr">
        <is>
          <t>Covers Croydon.</t>
        </is>
      </c>
      <c r="S15" s="112" t="n"/>
      <c r="U15" s="117" t="n">
        <v>46118</v>
      </c>
    </row>
    <row r="16" ht="36" customHeight="1" s="74">
      <c r="A16" s="111" t="n">
        <v>12</v>
      </c>
      <c r="B16" s="112" t="inlineStr">
        <is>
          <t>T5</t>
        </is>
      </c>
      <c r="C16" s="102" t="inlineStr">
        <is>
          <t>South West London and St George’s Mental Health NHS Trust</t>
        </is>
      </c>
      <c r="D16" s="102" t="inlineStr">
        <is>
          <t>Mental health</t>
        </is>
      </c>
      <c r="E16" s="113" t="inlineStr">
        <is>
          <t>BSL + Deafblind in inpatient / community / crisis; specialist Deaf pathway</t>
        </is>
      </c>
      <c r="F16" s="112" t="inlineStr">
        <is>
          <t>Not sent</t>
        </is>
      </c>
      <c r="G16" s="114" t="n"/>
      <c r="H16" s="115">
        <f>IF(G16="","",WORKDAY(G16,20,$U$5:$U$28))</f>
        <v/>
      </c>
      <c r="I16" s="116">
        <f>IF(H16="","",H16-TODAY())</f>
        <v/>
      </c>
      <c r="J16" s="114" t="n"/>
      <c r="K16" s="102" t="inlineStr">
        <is>
          <t>—</t>
        </is>
      </c>
      <c r="L16" s="113" t="n"/>
      <c r="M16" s="102" t="n"/>
      <c r="N16" s="102" t="inlineStr">
        <is>
          <t>—</t>
        </is>
      </c>
      <c r="O16" s="113" t="n"/>
      <c r="P16" s="102" t="n"/>
      <c r="Q16" s="112" t="inlineStr">
        <is>
          <t>No</t>
        </is>
      </c>
      <c r="R16" s="108" t="inlineStr">
        <is>
          <t>Springfield (Wandsworth) and Tolworth (Kingston).</t>
        </is>
      </c>
      <c r="S16" s="112" t="n"/>
      <c r="U16" s="117" t="n">
        <v>46146</v>
      </c>
    </row>
    <row r="17" ht="36" customHeight="1" s="74">
      <c r="A17" s="111" t="n">
        <v>13</v>
      </c>
      <c r="B17" s="112" t="inlineStr">
        <is>
          <t>T1</t>
        </is>
      </c>
      <c r="C17" s="102" t="inlineStr">
        <is>
          <t>NHS South East London ICB</t>
        </is>
      </c>
      <c r="D17" s="102" t="inlineStr">
        <is>
          <t>ICB</t>
        </is>
      </c>
      <c r="E17" s="113" t="inlineStr">
        <is>
          <t>BSL + Deafblind requests by borough, Oct 2024 onward; fulfilment; supplier; spend</t>
        </is>
      </c>
      <c r="F17" s="112" t="inlineStr">
        <is>
          <t>Not sent</t>
        </is>
      </c>
      <c r="G17" s="114" t="n"/>
      <c r="H17" s="115">
        <f>IF(G17="","",WORKDAY(G17,20,$U$5:$U$28))</f>
        <v/>
      </c>
      <c r="I17" s="116">
        <f>IF(H17="","",H17-TODAY())</f>
        <v/>
      </c>
      <c r="J17" s="114" t="n"/>
      <c r="K17" s="102" t="inlineStr">
        <is>
          <t>—</t>
        </is>
      </c>
      <c r="L17" s="113" t="n"/>
      <c r="M17" s="102" t="n"/>
      <c r="N17" s="102" t="inlineStr">
        <is>
          <t>—</t>
        </is>
      </c>
      <c r="O17" s="113" t="n"/>
      <c r="P17" s="102" t="n"/>
      <c r="Q17" s="112" t="inlineStr">
        <is>
          <t>No</t>
        </is>
      </c>
      <c r="R17" s="108" t="inlineStr">
        <is>
          <t>Neighbour. Croydon is SWL not SEL. BSL Talking Therapies tender from Jul 2026.</t>
        </is>
      </c>
      <c r="S17" s="112" t="n"/>
      <c r="U17" s="117" t="n">
        <v>46167</v>
      </c>
    </row>
    <row r="18" ht="36" customHeight="1" s="74">
      <c r="A18" s="111" t="n">
        <v>14</v>
      </c>
      <c r="B18" s="112" t="inlineStr">
        <is>
          <t>T1</t>
        </is>
      </c>
      <c r="C18" s="102" t="inlineStr">
        <is>
          <t>NHS North West London ICB</t>
        </is>
      </c>
      <c r="D18" s="102" t="inlineStr">
        <is>
          <t>ICB</t>
        </is>
      </c>
      <c r="E18" s="113" t="inlineStr">
        <is>
          <t>BSL + Deafblind requests by borough, Oct 2024 onward; fulfilment; supplier; spend</t>
        </is>
      </c>
      <c r="F18" s="112" t="inlineStr">
        <is>
          <t>Not sent</t>
        </is>
      </c>
      <c r="G18" s="114" t="n"/>
      <c r="H18" s="115">
        <f>IF(G18="","",WORKDAY(G18,20,$U$5:$U$28))</f>
        <v/>
      </c>
      <c r="I18" s="116">
        <f>IF(H18="","",H18-TODAY())</f>
        <v/>
      </c>
      <c r="J18" s="114" t="n"/>
      <c r="K18" s="102" t="inlineStr">
        <is>
          <t>—</t>
        </is>
      </c>
      <c r="L18" s="113" t="n"/>
      <c r="M18" s="102" t="n"/>
      <c r="N18" s="102" t="inlineStr">
        <is>
          <t>—</t>
        </is>
      </c>
      <c r="O18" s="113" t="n"/>
      <c r="P18" s="102" t="n"/>
      <c r="Q18" s="112" t="inlineStr">
        <is>
          <t>No</t>
        </is>
      </c>
      <c r="R18" s="108" t="inlineStr">
        <is>
          <t>Neighbour. Healthwatch SWL logged a BSL user whose GP sits in NWL.</t>
        </is>
      </c>
      <c r="S18" s="112" t="n"/>
      <c r="U18" s="117" t="n">
        <v>46265</v>
      </c>
    </row>
    <row r="19" ht="36" customHeight="1" s="74">
      <c r="A19" s="111" t="n">
        <v>15</v>
      </c>
      <c r="B19" s="112" t="inlineStr">
        <is>
          <t>T1</t>
        </is>
      </c>
      <c r="C19" s="102" t="inlineStr">
        <is>
          <t>NHS North Central London ICB</t>
        </is>
      </c>
      <c r="D19" s="102" t="inlineStr">
        <is>
          <t>ICB</t>
        </is>
      </c>
      <c r="E19" s="113" t="inlineStr">
        <is>
          <t>BSL + Deafblind requests by borough, Oct 2024 onward; fulfilment; supplier; spend</t>
        </is>
      </c>
      <c r="F19" s="112" t="inlineStr">
        <is>
          <t>Not sent</t>
        </is>
      </c>
      <c r="G19" s="114" t="n"/>
      <c r="H19" s="115">
        <f>IF(G19="","",WORKDAY(G19,20,$U$5:$U$28))</f>
        <v/>
      </c>
      <c r="I19" s="116">
        <f>IF(H19="","",H19-TODAY())</f>
        <v/>
      </c>
      <c r="J19" s="114" t="n"/>
      <c r="K19" s="102" t="inlineStr">
        <is>
          <t>—</t>
        </is>
      </c>
      <c r="L19" s="113" t="n"/>
      <c r="M19" s="102" t="n"/>
      <c r="N19" s="102" t="inlineStr">
        <is>
          <t>—</t>
        </is>
      </c>
      <c r="O19" s="113" t="n"/>
      <c r="P19" s="102" t="n"/>
      <c r="Q19" s="112" t="inlineStr">
        <is>
          <t>No</t>
        </is>
      </c>
      <c r="R19" s="108" t="inlineStr">
        <is>
          <t>Second wave. Oak Lodge draws students from 25 boroughs.</t>
        </is>
      </c>
      <c r="S19" s="112" t="n"/>
      <c r="U19" s="117" t="n">
        <v>46381</v>
      </c>
    </row>
    <row r="20" ht="36" customHeight="1" s="74">
      <c r="A20" s="111" t="n">
        <v>16</v>
      </c>
      <c r="B20" s="112" t="inlineStr">
        <is>
          <t>T1</t>
        </is>
      </c>
      <c r="C20" s="102" t="inlineStr">
        <is>
          <t>NHS North East London ICB</t>
        </is>
      </c>
      <c r="D20" s="102" t="inlineStr">
        <is>
          <t>ICB</t>
        </is>
      </c>
      <c r="E20" s="113" t="inlineStr">
        <is>
          <t>BSL + Deafblind requests by borough, Oct 2024 onward; fulfilment; supplier; spend</t>
        </is>
      </c>
      <c r="F20" s="112" t="inlineStr">
        <is>
          <t>Not sent</t>
        </is>
      </c>
      <c r="G20" s="114" t="n"/>
      <c r="H20" s="115">
        <f>IF(G20="","",WORKDAY(G20,20,$U$5:$U$28))</f>
        <v/>
      </c>
      <c r="I20" s="116">
        <f>IF(H20="","",H20-TODAY())</f>
        <v/>
      </c>
      <c r="J20" s="114" t="n"/>
      <c r="K20" s="102" t="inlineStr">
        <is>
          <t>—</t>
        </is>
      </c>
      <c r="L20" s="113" t="n"/>
      <c r="M20" s="102" t="n"/>
      <c r="N20" s="102" t="inlineStr">
        <is>
          <t>—</t>
        </is>
      </c>
      <c r="O20" s="113" t="n"/>
      <c r="P20" s="102" t="n"/>
      <c r="Q20" s="112" t="inlineStr">
        <is>
          <t>No</t>
        </is>
      </c>
      <c r="R20" s="108" t="inlineStr">
        <is>
          <t>Second wave. Completes the five London ICBs.</t>
        </is>
      </c>
      <c r="S20" s="112" t="n"/>
      <c r="U20" s="117" t="n">
        <v>46384</v>
      </c>
    </row>
    <row r="21" ht="21.75" customHeight="1" s="74">
      <c r="A21" s="111" t="n">
        <v>17</v>
      </c>
      <c r="B21" s="102" t="n"/>
      <c r="C21" s="102" t="n"/>
      <c r="D21" s="102" t="n"/>
      <c r="E21" s="102" t="n"/>
      <c r="F21" s="102" t="n"/>
      <c r="G21" s="114" t="n"/>
      <c r="H21" s="115">
        <f>IF(G21="","",WORKDAY(G21,20,$U$5:$U$28))</f>
        <v/>
      </c>
      <c r="I21" s="116">
        <f>IF(H21="","",H21-TODAY())</f>
        <v/>
      </c>
      <c r="J21" s="114" t="n"/>
      <c r="K21" s="102" t="inlineStr">
        <is>
          <t>—</t>
        </is>
      </c>
      <c r="L21" s="102" t="n"/>
      <c r="M21" s="102" t="n"/>
      <c r="N21" s="102" t="inlineStr">
        <is>
          <t>—</t>
        </is>
      </c>
      <c r="O21" s="102" t="n"/>
      <c r="P21" s="102" t="n"/>
      <c r="Q21" s="102" t="inlineStr">
        <is>
          <t>No</t>
        </is>
      </c>
      <c r="R21" s="102" t="n"/>
      <c r="S21" s="112" t="n"/>
      <c r="U21" s="117" t="n">
        <v>46388</v>
      </c>
    </row>
    <row r="22" ht="21.75" customHeight="1" s="74">
      <c r="A22" s="111" t="n">
        <v>18</v>
      </c>
      <c r="B22" s="102" t="n"/>
      <c r="C22" s="102" t="n"/>
      <c r="D22" s="102" t="n"/>
      <c r="E22" s="102" t="n"/>
      <c r="F22" s="102" t="n"/>
      <c r="G22" s="114" t="n"/>
      <c r="H22" s="115">
        <f>IF(G22="","",WORKDAY(G22,20,$U$5:$U$28))</f>
        <v/>
      </c>
      <c r="I22" s="116">
        <f>IF(H22="","",H22-TODAY())</f>
        <v/>
      </c>
      <c r="J22" s="114" t="n"/>
      <c r="K22" s="102" t="inlineStr">
        <is>
          <t>—</t>
        </is>
      </c>
      <c r="L22" s="102" t="n"/>
      <c r="M22" s="102" t="n"/>
      <c r="N22" s="102" t="inlineStr">
        <is>
          <t>—</t>
        </is>
      </c>
      <c r="O22" s="102" t="n"/>
      <c r="P22" s="102" t="n"/>
      <c r="Q22" s="102" t="inlineStr">
        <is>
          <t>No</t>
        </is>
      </c>
      <c r="R22" s="102" t="n"/>
      <c r="S22" s="112" t="n"/>
      <c r="U22" s="117" t="n">
        <v>46472</v>
      </c>
    </row>
    <row r="23" ht="21.75" customHeight="1" s="74">
      <c r="A23" s="111" t="n">
        <v>19</v>
      </c>
      <c r="B23" s="102" t="n"/>
      <c r="C23" s="102" t="n"/>
      <c r="D23" s="102" t="n"/>
      <c r="E23" s="102" t="n"/>
      <c r="F23" s="102" t="n"/>
      <c r="G23" s="114" t="n"/>
      <c r="H23" s="115">
        <f>IF(G23="","",WORKDAY(G23,20,$U$5:$U$28))</f>
        <v/>
      </c>
      <c r="I23" s="116">
        <f>IF(H23="","",H23-TODAY())</f>
        <v/>
      </c>
      <c r="J23" s="114" t="n"/>
      <c r="K23" s="102" t="inlineStr">
        <is>
          <t>—</t>
        </is>
      </c>
      <c r="L23" s="102" t="n"/>
      <c r="M23" s="102" t="n"/>
      <c r="N23" s="102" t="inlineStr">
        <is>
          <t>—</t>
        </is>
      </c>
      <c r="O23" s="102" t="n"/>
      <c r="P23" s="102" t="n"/>
      <c r="Q23" s="102" t="inlineStr">
        <is>
          <t>No</t>
        </is>
      </c>
      <c r="R23" s="102" t="n"/>
      <c r="S23" s="112" t="n"/>
      <c r="U23" s="117" t="n">
        <v>46475</v>
      </c>
    </row>
    <row r="24" ht="21.75" customHeight="1" s="74">
      <c r="A24" s="111" t="n">
        <v>20</v>
      </c>
      <c r="B24" s="102" t="n"/>
      <c r="C24" s="102" t="n"/>
      <c r="D24" s="102" t="n"/>
      <c r="E24" s="102" t="n"/>
      <c r="F24" s="102" t="n"/>
      <c r="G24" s="114" t="n"/>
      <c r="H24" s="115">
        <f>IF(G24="","",WORKDAY(G24,20,$U$5:$U$28))</f>
        <v/>
      </c>
      <c r="I24" s="116">
        <f>IF(H24="","",H24-TODAY())</f>
        <v/>
      </c>
      <c r="J24" s="114" t="n"/>
      <c r="K24" s="102" t="inlineStr">
        <is>
          <t>—</t>
        </is>
      </c>
      <c r="L24" s="102" t="n"/>
      <c r="M24" s="102" t="n"/>
      <c r="N24" s="102" t="inlineStr">
        <is>
          <t>—</t>
        </is>
      </c>
      <c r="O24" s="102" t="n"/>
      <c r="P24" s="102" t="n"/>
      <c r="Q24" s="102" t="inlineStr">
        <is>
          <t>No</t>
        </is>
      </c>
      <c r="R24" s="102" t="n"/>
      <c r="S24" s="112" t="n"/>
      <c r="U24" s="117" t="n">
        <v>46510</v>
      </c>
    </row>
    <row r="25" ht="21.75" customHeight="1" s="74">
      <c r="A25" s="111" t="n">
        <v>21</v>
      </c>
      <c r="B25" s="102" t="n"/>
      <c r="C25" s="102" t="n"/>
      <c r="D25" s="102" t="n"/>
      <c r="E25" s="102" t="n"/>
      <c r="F25" s="102" t="n"/>
      <c r="G25" s="114" t="n"/>
      <c r="H25" s="115">
        <f>IF(G25="","",WORKDAY(G25,20,$U$5:$U$28))</f>
        <v/>
      </c>
      <c r="I25" s="116">
        <f>IF(H25="","",H25-TODAY())</f>
        <v/>
      </c>
      <c r="J25" s="114" t="n"/>
      <c r="K25" s="102" t="inlineStr">
        <is>
          <t>—</t>
        </is>
      </c>
      <c r="L25" s="102" t="n"/>
      <c r="M25" s="102" t="n"/>
      <c r="N25" s="102" t="inlineStr">
        <is>
          <t>—</t>
        </is>
      </c>
      <c r="O25" s="102" t="n"/>
      <c r="P25" s="102" t="n"/>
      <c r="Q25" s="102" t="inlineStr">
        <is>
          <t>No</t>
        </is>
      </c>
      <c r="R25" s="102" t="n"/>
      <c r="S25" s="112" t="n"/>
      <c r="U25" s="117" t="n">
        <v>46538</v>
      </c>
    </row>
    <row r="26" ht="21.75" customHeight="1" s="74">
      <c r="A26" s="111" t="n">
        <v>22</v>
      </c>
      <c r="B26" s="102" t="n"/>
      <c r="C26" s="102" t="n"/>
      <c r="D26" s="102" t="n"/>
      <c r="E26" s="102" t="n"/>
      <c r="F26" s="102" t="n"/>
      <c r="G26" s="114" t="n"/>
      <c r="H26" s="115">
        <f>IF(G26="","",WORKDAY(G26,20,$U$5:$U$28))</f>
        <v/>
      </c>
      <c r="I26" s="116">
        <f>IF(H26="","",H26-TODAY())</f>
        <v/>
      </c>
      <c r="J26" s="114" t="n"/>
      <c r="K26" s="102" t="inlineStr">
        <is>
          <t>—</t>
        </is>
      </c>
      <c r="L26" s="102" t="n"/>
      <c r="M26" s="102" t="n"/>
      <c r="N26" s="102" t="inlineStr">
        <is>
          <t>—</t>
        </is>
      </c>
      <c r="O26" s="102" t="n"/>
      <c r="P26" s="102" t="n"/>
      <c r="Q26" s="102" t="inlineStr">
        <is>
          <t>No</t>
        </is>
      </c>
      <c r="R26" s="102" t="n"/>
      <c r="S26" s="112" t="n"/>
      <c r="U26" s="117" t="n">
        <v>46629</v>
      </c>
    </row>
    <row r="27" ht="21.75" customHeight="1" s="74">
      <c r="A27" s="111" t="n">
        <v>23</v>
      </c>
      <c r="B27" s="102" t="n"/>
      <c r="C27" s="102" t="n"/>
      <c r="D27" s="102" t="n"/>
      <c r="E27" s="102" t="n"/>
      <c r="F27" s="102" t="n"/>
      <c r="G27" s="114" t="n"/>
      <c r="H27" s="115">
        <f>IF(G27="","",WORKDAY(G27,20,$U$5:$U$28))</f>
        <v/>
      </c>
      <c r="I27" s="116">
        <f>IF(H27="","",H27-TODAY())</f>
        <v/>
      </c>
      <c r="J27" s="114" t="n"/>
      <c r="K27" s="102" t="inlineStr">
        <is>
          <t>—</t>
        </is>
      </c>
      <c r="L27" s="102" t="n"/>
      <c r="M27" s="102" t="n"/>
      <c r="N27" s="102" t="inlineStr">
        <is>
          <t>—</t>
        </is>
      </c>
      <c r="O27" s="102" t="n"/>
      <c r="P27" s="102" t="n"/>
      <c r="Q27" s="102" t="inlineStr">
        <is>
          <t>No</t>
        </is>
      </c>
      <c r="R27" s="102" t="n"/>
      <c r="S27" s="112" t="n"/>
      <c r="U27" s="117" t="n">
        <v>46748</v>
      </c>
    </row>
    <row r="28" ht="21.75" customHeight="1" s="74">
      <c r="A28" s="111" t="n">
        <v>24</v>
      </c>
      <c r="B28" s="102" t="n"/>
      <c r="C28" s="102" t="n"/>
      <c r="D28" s="102" t="n"/>
      <c r="E28" s="102" t="n"/>
      <c r="F28" s="102" t="n"/>
      <c r="G28" s="114" t="n"/>
      <c r="H28" s="115">
        <f>IF(G28="","",WORKDAY(G28,20,$U$5:$U$28))</f>
        <v/>
      </c>
      <c r="I28" s="116">
        <f>IF(H28="","",H28-TODAY())</f>
        <v/>
      </c>
      <c r="J28" s="114" t="n"/>
      <c r="K28" s="102" t="inlineStr">
        <is>
          <t>—</t>
        </is>
      </c>
      <c r="L28" s="102" t="n"/>
      <c r="M28" s="102" t="n"/>
      <c r="N28" s="102" t="inlineStr">
        <is>
          <t>—</t>
        </is>
      </c>
      <c r="O28" s="102" t="n"/>
      <c r="P28" s="102" t="n"/>
      <c r="Q28" s="102" t="inlineStr">
        <is>
          <t>No</t>
        </is>
      </c>
      <c r="R28" s="102" t="n"/>
      <c r="S28" s="112" t="n"/>
      <c r="U28" s="117" t="n">
        <v>46749</v>
      </c>
    </row>
    <row r="29" ht="21.75" customHeight="1" s="74">
      <c r="A29" s="111" t="n">
        <v>25</v>
      </c>
      <c r="B29" s="102" t="n"/>
      <c r="C29" s="102" t="n"/>
      <c r="D29" s="102" t="n"/>
      <c r="E29" s="102" t="n"/>
      <c r="F29" s="102" t="n"/>
      <c r="G29" s="114" t="n"/>
      <c r="H29" s="115">
        <f>IF(G29="","",WORKDAY(G29,20,$U$5:$U$28))</f>
        <v/>
      </c>
      <c r="I29" s="116">
        <f>IF(H29="","",H29-TODAY())</f>
        <v/>
      </c>
      <c r="J29" s="114" t="n"/>
      <c r="K29" s="102" t="inlineStr">
        <is>
          <t>—</t>
        </is>
      </c>
      <c r="L29" s="102" t="n"/>
      <c r="M29" s="102" t="n"/>
      <c r="N29" s="102" t="inlineStr">
        <is>
          <t>—</t>
        </is>
      </c>
      <c r="O29" s="102" t="n"/>
      <c r="P29" s="102" t="n"/>
      <c r="Q29" s="102" t="inlineStr">
        <is>
          <t>No</t>
        </is>
      </c>
      <c r="R29" s="102" t="n"/>
      <c r="S29" s="112" t="n"/>
    </row>
    <row r="30" ht="21.75" customHeight="1" s="74">
      <c r="A30" s="111" t="n">
        <v>26</v>
      </c>
      <c r="B30" s="102" t="n"/>
      <c r="C30" s="102" t="n"/>
      <c r="D30" s="102" t="n"/>
      <c r="E30" s="102" t="n"/>
      <c r="F30" s="102" t="n"/>
      <c r="G30" s="114" t="n"/>
      <c r="H30" s="115">
        <f>IF(G30="","",WORKDAY(G30,20,$U$5:$U$28))</f>
        <v/>
      </c>
      <c r="I30" s="116">
        <f>IF(H30="","",H30-TODAY())</f>
        <v/>
      </c>
      <c r="J30" s="114" t="n"/>
      <c r="K30" s="102" t="inlineStr">
        <is>
          <t>—</t>
        </is>
      </c>
      <c r="L30" s="102" t="n"/>
      <c r="M30" s="102" t="n"/>
      <c r="N30" s="102" t="inlineStr">
        <is>
          <t>—</t>
        </is>
      </c>
      <c r="O30" s="102" t="n"/>
      <c r="P30" s="102" t="n"/>
      <c r="Q30" s="102" t="inlineStr">
        <is>
          <t>No</t>
        </is>
      </c>
      <c r="R30" s="102" t="n"/>
      <c r="S30" s="112" t="n"/>
    </row>
    <row r="31" ht="21.75" customHeight="1" s="74">
      <c r="A31" s="111" t="n">
        <v>27</v>
      </c>
      <c r="B31" s="102" t="n"/>
      <c r="C31" s="102" t="n"/>
      <c r="D31" s="102" t="n"/>
      <c r="E31" s="102" t="n"/>
      <c r="F31" s="102" t="n"/>
      <c r="G31" s="114" t="n"/>
      <c r="H31" s="115">
        <f>IF(G31="","",WORKDAY(G31,20,$U$5:$U$28))</f>
        <v/>
      </c>
      <c r="I31" s="116">
        <f>IF(H31="","",H31-TODAY())</f>
        <v/>
      </c>
      <c r="J31" s="114" t="n"/>
      <c r="K31" s="102" t="inlineStr">
        <is>
          <t>—</t>
        </is>
      </c>
      <c r="L31" s="102" t="n"/>
      <c r="M31" s="102" t="n"/>
      <c r="N31" s="102" t="inlineStr">
        <is>
          <t>—</t>
        </is>
      </c>
      <c r="O31" s="102" t="n"/>
      <c r="P31" s="102" t="n"/>
      <c r="Q31" s="102" t="inlineStr">
        <is>
          <t>No</t>
        </is>
      </c>
      <c r="R31" s="102" t="n"/>
      <c r="S31" s="112" t="n"/>
    </row>
    <row r="32" ht="21.75" customHeight="1" s="74">
      <c r="A32" s="111" t="n">
        <v>28</v>
      </c>
      <c r="B32" s="102" t="n"/>
      <c r="C32" s="102" t="n"/>
      <c r="D32" s="102" t="n"/>
      <c r="E32" s="102" t="n"/>
      <c r="F32" s="102" t="n"/>
      <c r="G32" s="114" t="n"/>
      <c r="H32" s="115">
        <f>IF(G32="","",WORKDAY(G32,20,$U$5:$U$28))</f>
        <v/>
      </c>
      <c r="I32" s="116">
        <f>IF(H32="","",H32-TODAY())</f>
        <v/>
      </c>
      <c r="J32" s="114" t="n"/>
      <c r="K32" s="102" t="inlineStr">
        <is>
          <t>—</t>
        </is>
      </c>
      <c r="L32" s="102" t="n"/>
      <c r="M32" s="102" t="n"/>
      <c r="N32" s="102" t="inlineStr">
        <is>
          <t>—</t>
        </is>
      </c>
      <c r="O32" s="102" t="n"/>
      <c r="P32" s="102" t="n"/>
      <c r="Q32" s="102" t="inlineStr">
        <is>
          <t>No</t>
        </is>
      </c>
      <c r="R32" s="102" t="n"/>
      <c r="S32" s="112" t="n"/>
    </row>
    <row r="33" ht="21.75" customHeight="1" s="74">
      <c r="A33" s="111" t="n">
        <v>29</v>
      </c>
      <c r="B33" s="102" t="n"/>
      <c r="C33" s="102" t="n"/>
      <c r="D33" s="102" t="n"/>
      <c r="E33" s="102" t="n"/>
      <c r="F33" s="102" t="n"/>
      <c r="G33" s="114" t="n"/>
      <c r="H33" s="115">
        <f>IF(G33="","",WORKDAY(G33,20,$U$5:$U$28))</f>
        <v/>
      </c>
      <c r="I33" s="116">
        <f>IF(H33="","",H33-TODAY())</f>
        <v/>
      </c>
      <c r="J33" s="114" t="n"/>
      <c r="K33" s="102" t="inlineStr">
        <is>
          <t>—</t>
        </is>
      </c>
      <c r="L33" s="102" t="n"/>
      <c r="M33" s="102" t="n"/>
      <c r="N33" s="102" t="inlineStr">
        <is>
          <t>—</t>
        </is>
      </c>
      <c r="O33" s="102" t="n"/>
      <c r="P33" s="102" t="n"/>
      <c r="Q33" s="102" t="inlineStr">
        <is>
          <t>No</t>
        </is>
      </c>
      <c r="R33" s="102" t="n"/>
      <c r="S33" s="112" t="n"/>
    </row>
    <row r="34" ht="21.75" customHeight="1" s="74">
      <c r="A34" s="111" t="n">
        <v>30</v>
      </c>
      <c r="B34" s="102" t="n"/>
      <c r="C34" s="102" t="n"/>
      <c r="D34" s="102" t="n"/>
      <c r="E34" s="102" t="n"/>
      <c r="F34" s="102" t="n"/>
      <c r="G34" s="114" t="n"/>
      <c r="H34" s="115">
        <f>IF(G34="","",WORKDAY(G34,20,$U$5:$U$28))</f>
        <v/>
      </c>
      <c r="I34" s="116">
        <f>IF(H34="","",H34-TODAY())</f>
        <v/>
      </c>
      <c r="J34" s="114" t="n"/>
      <c r="K34" s="102" t="inlineStr">
        <is>
          <t>—</t>
        </is>
      </c>
      <c r="L34" s="102" t="n"/>
      <c r="M34" s="102" t="n"/>
      <c r="N34" s="102" t="inlineStr">
        <is>
          <t>—</t>
        </is>
      </c>
      <c r="O34" s="102" t="n"/>
      <c r="P34" s="102" t="n"/>
      <c r="Q34" s="102" t="inlineStr">
        <is>
          <t>No</t>
        </is>
      </c>
      <c r="R34" s="102" t="n"/>
      <c r="S34" s="112" t="n"/>
    </row>
    <row r="35" ht="21.75" customHeight="1" s="74">
      <c r="A35" s="111" t="n">
        <v>31</v>
      </c>
      <c r="B35" s="102" t="n"/>
      <c r="C35" s="102" t="n"/>
      <c r="D35" s="102" t="n"/>
      <c r="E35" s="102" t="n"/>
      <c r="F35" s="102" t="n"/>
      <c r="G35" s="114" t="n"/>
      <c r="H35" s="115">
        <f>IF(G35="","",WORKDAY(G35,20,$U$5:$U$28))</f>
        <v/>
      </c>
      <c r="I35" s="116">
        <f>IF(H35="","",H35-TODAY())</f>
        <v/>
      </c>
      <c r="J35" s="114" t="n"/>
      <c r="K35" s="102" t="inlineStr">
        <is>
          <t>—</t>
        </is>
      </c>
      <c r="L35" s="102" t="n"/>
      <c r="M35" s="102" t="n"/>
      <c r="N35" s="102" t="inlineStr">
        <is>
          <t>—</t>
        </is>
      </c>
      <c r="O35" s="102" t="n"/>
      <c r="P35" s="102" t="n"/>
      <c r="Q35" s="102" t="inlineStr">
        <is>
          <t>No</t>
        </is>
      </c>
      <c r="R35" s="102" t="n"/>
      <c r="S35" s="112" t="n"/>
    </row>
    <row r="36" ht="21.75" customHeight="1" s="74">
      <c r="A36" s="111" t="n">
        <v>32</v>
      </c>
      <c r="B36" s="102" t="n"/>
      <c r="C36" s="102" t="n"/>
      <c r="D36" s="102" t="n"/>
      <c r="E36" s="102" t="n"/>
      <c r="F36" s="102" t="n"/>
      <c r="G36" s="114" t="n"/>
      <c r="H36" s="115">
        <f>IF(G36="","",WORKDAY(G36,20,$U$5:$U$28))</f>
        <v/>
      </c>
      <c r="I36" s="116">
        <f>IF(H36="","",H36-TODAY())</f>
        <v/>
      </c>
      <c r="J36" s="114" t="n"/>
      <c r="K36" s="102" t="inlineStr">
        <is>
          <t>—</t>
        </is>
      </c>
      <c r="L36" s="102" t="n"/>
      <c r="M36" s="102" t="n"/>
      <c r="N36" s="102" t="inlineStr">
        <is>
          <t>—</t>
        </is>
      </c>
      <c r="O36" s="102" t="n"/>
      <c r="P36" s="102" t="n"/>
      <c r="Q36" s="102" t="inlineStr">
        <is>
          <t>No</t>
        </is>
      </c>
      <c r="R36" s="102" t="n"/>
      <c r="S36" s="112" t="n"/>
    </row>
    <row r="37" ht="21.75" customHeight="1" s="74">
      <c r="A37" s="111" t="n">
        <v>33</v>
      </c>
      <c r="B37" s="102" t="n"/>
      <c r="C37" s="102" t="n"/>
      <c r="D37" s="102" t="n"/>
      <c r="E37" s="102" t="n"/>
      <c r="F37" s="102" t="n"/>
      <c r="G37" s="114" t="n"/>
      <c r="H37" s="115">
        <f>IF(G37="","",WORKDAY(G37,20,$U$5:$U$28))</f>
        <v/>
      </c>
      <c r="I37" s="116">
        <f>IF(H37="","",H37-TODAY())</f>
        <v/>
      </c>
      <c r="J37" s="114" t="n"/>
      <c r="K37" s="102" t="inlineStr">
        <is>
          <t>—</t>
        </is>
      </c>
      <c r="L37" s="102" t="n"/>
      <c r="M37" s="102" t="n"/>
      <c r="N37" s="102" t="inlineStr">
        <is>
          <t>—</t>
        </is>
      </c>
      <c r="O37" s="102" t="n"/>
      <c r="P37" s="102" t="n"/>
      <c r="Q37" s="102" t="inlineStr">
        <is>
          <t>No</t>
        </is>
      </c>
      <c r="R37" s="102" t="n"/>
      <c r="S37" s="112" t="n"/>
    </row>
    <row r="38" ht="21.75" customHeight="1" s="74">
      <c r="A38" s="111" t="n">
        <v>34</v>
      </c>
      <c r="B38" s="102" t="n"/>
      <c r="C38" s="102" t="n"/>
      <c r="D38" s="102" t="n"/>
      <c r="E38" s="102" t="n"/>
      <c r="F38" s="102" t="n"/>
      <c r="G38" s="114" t="n"/>
      <c r="H38" s="115">
        <f>IF(G38="","",WORKDAY(G38,20,$U$5:$U$28))</f>
        <v/>
      </c>
      <c r="I38" s="116">
        <f>IF(H38="","",H38-TODAY())</f>
        <v/>
      </c>
      <c r="J38" s="114" t="n"/>
      <c r="K38" s="102" t="inlineStr">
        <is>
          <t>—</t>
        </is>
      </c>
      <c r="L38" s="102" t="n"/>
      <c r="M38" s="102" t="n"/>
      <c r="N38" s="102" t="inlineStr">
        <is>
          <t>—</t>
        </is>
      </c>
      <c r="O38" s="102" t="n"/>
      <c r="P38" s="102" t="n"/>
      <c r="Q38" s="102" t="inlineStr">
        <is>
          <t>No</t>
        </is>
      </c>
      <c r="R38" s="102" t="n"/>
      <c r="S38" s="112" t="n"/>
    </row>
    <row r="39" ht="21.75" customHeight="1" s="74">
      <c r="A39" s="111" t="n">
        <v>35</v>
      </c>
      <c r="B39" s="102" t="n"/>
      <c r="C39" s="102" t="n"/>
      <c r="D39" s="102" t="n"/>
      <c r="E39" s="102" t="n"/>
      <c r="F39" s="102" t="n"/>
      <c r="G39" s="114" t="n"/>
      <c r="H39" s="115">
        <f>IF(G39="","",WORKDAY(G39,20,$U$5:$U$28))</f>
        <v/>
      </c>
      <c r="I39" s="116">
        <f>IF(H39="","",H39-TODAY())</f>
        <v/>
      </c>
      <c r="J39" s="114" t="n"/>
      <c r="K39" s="102" t="inlineStr">
        <is>
          <t>—</t>
        </is>
      </c>
      <c r="L39" s="102" t="n"/>
      <c r="M39" s="102" t="n"/>
      <c r="N39" s="102" t="inlineStr">
        <is>
          <t>—</t>
        </is>
      </c>
      <c r="O39" s="102" t="n"/>
      <c r="P39" s="102" t="n"/>
      <c r="Q39" s="102" t="inlineStr">
        <is>
          <t>No</t>
        </is>
      </c>
      <c r="R39" s="102" t="n"/>
      <c r="S39" s="112" t="n"/>
    </row>
    <row r="40" ht="21.75" customHeight="1" s="74">
      <c r="A40" s="111" t="n">
        <v>36</v>
      </c>
      <c r="B40" s="102" t="n"/>
      <c r="C40" s="102" t="n"/>
      <c r="D40" s="102" t="n"/>
      <c r="E40" s="102" t="n"/>
      <c r="F40" s="102" t="n"/>
      <c r="G40" s="114" t="n"/>
      <c r="H40" s="115">
        <f>IF(G40="","",WORKDAY(G40,20,$U$5:$U$28))</f>
        <v/>
      </c>
      <c r="I40" s="116">
        <f>IF(H40="","",H40-TODAY())</f>
        <v/>
      </c>
      <c r="J40" s="114" t="n"/>
      <c r="K40" s="102" t="inlineStr">
        <is>
          <t>—</t>
        </is>
      </c>
      <c r="L40" s="102" t="n"/>
      <c r="M40" s="102" t="n"/>
      <c r="N40" s="102" t="inlineStr">
        <is>
          <t>—</t>
        </is>
      </c>
      <c r="O40" s="102" t="n"/>
      <c r="P40" s="102" t="n"/>
      <c r="Q40" s="102" t="inlineStr">
        <is>
          <t>No</t>
        </is>
      </c>
      <c r="R40" s="102" t="n"/>
      <c r="S40" s="112" t="n"/>
    </row>
    <row r="41">
      <c r="A41" s="111" t="n">
        <v>37</v>
      </c>
      <c r="B41" s="102" t="n"/>
      <c r="C41" s="102" t="inlineStr">
        <is>
          <t>SWL ICB constituent Trusts</t>
        </is>
      </c>
      <c r="D41" s="102" t="inlineStr">
        <is>
          <t>Trust</t>
        </is>
      </c>
      <c r="E41" s="102" t="inlineStr">
        <is>
          <t>Count of AIS-flagged patients contacted by phone instead of recorded accessible method, and planned appointments where VRI was used/offered instead of a booked in-person BSL interpreter, last 24 months</t>
        </is>
      </c>
      <c r="F41" s="102" t="inlineStr">
        <is>
          <t>Not sent</t>
        </is>
      </c>
      <c r="G41" s="114" t="n"/>
      <c r="H41" s="115">
        <f>IF(G41="","",WORKDAY(G41,20,$U$5:$U$28))</f>
        <v/>
      </c>
      <c r="I41" s="116">
        <f>IF(H41="","",H41-TODAY())</f>
        <v/>
      </c>
      <c r="J41" s="114" t="n"/>
      <c r="K41" s="102" t="inlineStr">
        <is>
          <t>—</t>
        </is>
      </c>
      <c r="L41" s="102" t="n"/>
      <c r="M41" s="102" t="n"/>
      <c r="N41" s="102" t="inlineStr">
        <is>
          <t>—</t>
        </is>
      </c>
      <c r="O41" s="102" t="n"/>
      <c r="P41" s="102" t="n"/>
      <c r="Q41" s="102" t="inlineStr">
        <is>
          <t>No</t>
        </is>
      </c>
      <c r="R41" s="102" t="inlineStr">
        <is>
          <t>From AIS prompts 34-37 (8 Sep 2026). Template left blank - closest existing template is T2 (hospital trust activity) but T2 asks about interpreter fulfilment, not contact-method/channel-substitution as its own incident type - expect a "we do not hold this as a reportable field" response, which is itself the finding per the domain briefing. See BSL_DOMAIN_NHS_interpreter_provision.md new subsection and dossier FOI item n:51.</t>
        </is>
      </c>
      <c r="S41" s="112" t="n"/>
    </row>
    <row r="42" ht="15.75" customHeight="1" s="74">
      <c r="A42" s="111" t="n">
        <v>38</v>
      </c>
      <c r="B42" s="102" t="n"/>
      <c r="C42" s="102" t="inlineStr">
        <is>
          <t>Care Quality Commission (CQC)</t>
        </is>
      </c>
      <c r="D42" s="102" t="inlineStr">
        <is>
          <t>Regulator</t>
        </is>
      </c>
      <c r="E42" s="102" t="inlineStr">
        <is>
          <t>Whether CQC has ever issued an enforcement notice, fixed penalty, or published inspection finding specifically categorised as an Accessible Information Standard breach (as opposed to a consent/dignity/person-centred-care breach where AIS/BSL is the underlying fact pattern, e.g. UHB "Mr X")</t>
        </is>
      </c>
      <c r="F42" s="102" t="inlineStr">
        <is>
          <t>Not sent</t>
        </is>
      </c>
      <c r="G42" s="114" t="n"/>
      <c r="H42" s="115">
        <f>IF(G42="","",WORKDAY(G42,20,$U$5:$U$28))</f>
        <v/>
      </c>
      <c r="I42" s="116">
        <f>IF(H42="","",H42-TODAY())</f>
        <v/>
      </c>
      <c r="J42" s="114" t="n"/>
      <c r="K42" s="102" t="inlineStr">
        <is>
          <t>—</t>
        </is>
      </c>
      <c r="L42" s="102" t="n"/>
      <c r="M42" s="102" t="n"/>
      <c r="N42" s="102" t="inlineStr">
        <is>
          <t>—</t>
        </is>
      </c>
      <c r="O42" s="102" t="n"/>
      <c r="P42" s="102" t="n"/>
      <c r="Q42" s="102" t="inlineStr">
        <is>
          <t>No</t>
        </is>
      </c>
      <c r="R42" s="102" t="inlineStr">
        <is>
          <t>Template left blank - CQC is a regulator, not an ICB/trust/council, so none of T1-T6 apply. From AIS prompt 34 (8 Sep 2026). Tests whether "AIS breach" is a real enforcement category at all - see dossier FOI item n:52 and domain briefing.</t>
        </is>
      </c>
      <c r="S42" s="112" t="n"/>
    </row>
    <row r="43" ht="23.25" customHeight="1" s="74">
      <c r="A43" s="118" t="inlineStr">
        <is>
          <t>Not sent</t>
        </is>
      </c>
      <c r="B43" s="119">
        <f>COUNTIF(F5:F40,"Not sent")</f>
        <v/>
      </c>
    </row>
    <row r="44" ht="34.5" customHeight="1" s="74">
      <c r="A44" s="79" t="inlineStr">
        <is>
          <t>Sent / in flight</t>
        </is>
      </c>
      <c r="B44" s="120">
        <f>COUNTIF(F5:F40,"Sent")+COUNTIF(F5:F40,"Due soon")+COUNTIF(F5:F40,"Overdue")+COUNTIF(F5:F40,"Internal review")</f>
        <v/>
      </c>
    </row>
    <row r="45" ht="45.75" customHeight="1" s="74">
      <c r="A45" s="90" t="inlineStr">
        <is>
          <t>Answered — data</t>
        </is>
      </c>
      <c r="B45" s="121">
        <f>COUNTIF(F5:F40,"Answered — data")</f>
        <v/>
      </c>
    </row>
    <row r="46" ht="90.75" customHeight="1" s="74">
      <c r="A46" s="95" t="inlineStr">
        <is>
          <t>Answered — not held / refused</t>
        </is>
      </c>
      <c r="B46" s="122">
        <f>COUNTIF(F5:F40,"Answered — not held")+COUNTIF(F5:F40,"Answered — refused")</f>
        <v/>
      </c>
    </row>
    <row r="47" ht="23.25" customHeight="1" s="74">
      <c r="A47" s="123" t="inlineStr">
        <is>
          <t>Closed</t>
        </is>
      </c>
      <c r="B47" s="124">
        <f>COUNTIF(F5:F40,"Closed")</f>
        <v/>
      </c>
    </row>
    <row r="48" ht="79.5" customHeight="1" s="74">
      <c r="A48" s="123" t="inlineStr">
        <is>
          <t>Rows used (any body name)</t>
        </is>
      </c>
      <c r="B48" s="124">
        <f>COUNTA(C5:C42)</f>
        <v/>
      </c>
    </row>
  </sheetData>
  <autoFilter ref="A4:R60"/>
  <mergeCells count="2">
    <mergeCell ref="A2:R2"/>
    <mergeCell ref="A1:R1"/>
  </mergeCells>
  <conditionalFormatting sqref="I5:I40">
    <cfRule type="expression" rank="0" priority="2" equalAverage="0" aboveAverage="0" dxfId="12" text="" percent="0" bottom="0">
      <formula>AND(ISNUMBER(I5),I5&lt;0)</formula>
    </cfRule>
    <cfRule type="expression" rank="0" priority="3" equalAverage="0" aboveAverage="0" dxfId="13" text="" percent="0" bottom="0">
      <formula>AND(ISNUMBER(I5),I5&gt;=0,I5&lt;=5)</formula>
    </cfRule>
    <cfRule type="expression" rank="0" priority="4" equalAverage="0" aboveAverage="0" dxfId="14" text="" percent="0" bottom="0">
      <formula>AND(ISNUMBER(I5),I5&gt;5)</formula>
    </cfRule>
  </conditionalFormatting>
  <dataValidations count="6">
    <dataValidation sqref="F5:F42" showDropDown="0" showInputMessage="0" showErrorMessage="0" allowBlank="1" type="list" errorStyle="stop" operator="between">
      <formula1>"Not sent,Sent,Due soon,Overdue,Answered — data,Answered — not held,Answered — refused,Internal review,Closed"</formula1>
      <formula2>0</formula2>
    </dataValidation>
    <dataValidation sqref="K5:K42" showDropDown="0" showInputMessage="0" showErrorMessage="0" allowBlank="1" type="list" errorStyle="stop" operator="between">
      <formula1>"—,Full data,Partial data,Not held centrally,Section 12 cost,Section 40 personal data,Section 21 already published,Withdrawn,Internal review"</formula1>
      <formula2>0</formula2>
    </dataValidation>
    <dataValidation sqref="N5:N42" showDropDown="0" showInputMessage="0" showErrorMessage="0" allowBlank="1" type="list" errorStyle="stop" operator="between">
      <formula1>"—,Borough / locality split,Trust-wide only,ICB-wide only,Not held,Suppressed small numbers"</formula1>
      <formula2>0</formula2>
    </dataValidation>
    <dataValidation sqref="Q5:Q42" showDropDown="0" showInputMessage="0" showErrorMessage="0" allowBlank="1" type="list" errorStyle="stop" operator="between">
      <formula1>"No,Yes — send T6,Yes — ask named contractor,Yes — internal review,Yes — ask a trust instead"</formula1>
      <formula2>0</formula2>
    </dataValidation>
    <dataValidation sqref="B5:B42" showDropDown="0" showInputMessage="0" showErrorMessage="0" allowBlank="1" type="list" errorStyle="stop" operator="between">
      <formula1>"T1,T2,T3,T4,T5,T6"</formula1>
      <formula2>0</formula2>
    </dataValidation>
    <dataValidation sqref="S5:S42" showDropDown="0" showInputMessage="0" showErrorMessage="0" allowBlank="1" type="list" errorStyle="stop" operator="between">
      <formula1>"Yes,No"</formula1>
      <formula2>0</formula2>
    </dataValidation>
  </dataValidations>
  <printOptions horizontalCentered="0" verticalCentered="0" headings="0" gridLines="0" gridLinesSet="1"/>
  <pageMargins left="0.5" right="0.5" top="0.6" bottom="0.6" header="0.3" footer="0.3"/>
  <pageSetup orientation="landscape" paperSize="9" scale="100" fitToHeight="0" fitToWidth="1" pageOrder="downThenOver" blackAndWhite="0" draft="0" horizontalDpi="300" verticalDpi="300" copies="1"/>
  <headerFooter differentOddEven="0" differentFirst="0">
    <oddHeader>&amp;LRequest log</oddHeader>
    <oddFooter>&amp;LDeaf DeafBlind volunteer team  ·  companion to the gap tracker&amp;RPage &amp;P of &amp;N</oddFooter>
    <evenHeader/>
    <evenFooter/>
    <firstHeader/>
    <firstFooter/>
  </headerFooter>
</worksheet>
</file>

<file path=xl/worksheets/sheet10.xml><?xml version="1.0" encoding="utf-8"?>
<worksheet xmlns="http://schemas.openxmlformats.org/spreadsheetml/2006/main">
  <sheetPr filterMode="0">
    <tabColor rgb="FF0B3D91"/>
    <outlinePr summaryBelow="1" summaryRight="1"/>
    <pageSetUpPr fitToPage="1"/>
  </sheetPr>
  <dimension ref="B2:G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3" min="1" max="1"/>
    <col width="42" customWidth="1" style="73" min="2" max="2"/>
    <col width="16" customWidth="1" style="73" min="3" max="3"/>
    <col width="14" customWidth="1" style="73" min="4" max="4"/>
    <col width="36" customWidth="1" style="73" min="5" max="5"/>
    <col width="38" customWidth="1" style="73" min="6" max="6"/>
    <col width="28" customWidth="1" style="73" min="7" max="7"/>
  </cols>
  <sheetData>
    <row r="2" ht="21.75" customHeight="1" s="74">
      <c r="B2" s="88" t="inlineStr">
        <is>
          <t>First-wave contacts</t>
        </is>
      </c>
    </row>
    <row r="3" ht="31.5" customHeight="1" s="74">
      <c r="B3" s="76" t="inlineStr">
        <is>
          <t>Confirm the live FOI email on the body’s own website before you send — addresses move. The SWL ICB address below was current on published FOI responses. Prefer WhatDoTheyKnow so the answer stays public.</t>
        </is>
      </c>
    </row>
    <row r="5" ht="21.75" customHeight="1" s="74">
      <c r="B5" s="89" t="inlineStr">
        <is>
          <t>Body</t>
        </is>
      </c>
      <c r="C5" s="89" t="inlineStr">
        <is>
          <t>Type</t>
        </is>
      </c>
      <c r="D5" s="89" t="inlineStr">
        <is>
          <t>Template</t>
        </is>
      </c>
      <c r="E5" s="89" t="inlineStr">
        <is>
          <t>FOI route (check before sending)</t>
        </is>
      </c>
      <c r="F5" s="89" t="inlineStr">
        <is>
          <t>Why this body is on the first wave</t>
        </is>
      </c>
      <c r="G5" s="89" t="inlineStr">
        <is>
          <t>Wave</t>
        </is>
      </c>
    </row>
    <row r="6" ht="36" customHeight="1" s="74">
      <c r="B6" s="90" t="inlineStr">
        <is>
          <t>NHS South West London ICB</t>
        </is>
      </c>
      <c r="C6" s="125" t="inlineStr">
        <is>
          <t>ICB</t>
        </is>
      </c>
      <c r="D6" s="126" t="inlineStr">
        <is>
          <t>T4</t>
        </is>
      </c>
      <c r="E6" s="91" t="inlineStr">
        <is>
          <t>swl.igandfoiteam@swlondon.nhs.uk · southwestlondon.icb.nhs.uk FOI page · WhatDoTheyKnow</t>
        </is>
      </c>
      <c r="F6" s="91" t="inlineStr">
        <is>
          <t>Holds the 878. Need fulfilment and later months.</t>
        </is>
      </c>
      <c r="G6" s="121" t="inlineStr">
        <is>
          <t>First wave</t>
        </is>
      </c>
    </row>
    <row r="7" ht="36" customHeight="1" s="74">
      <c r="B7" s="90" t="inlineStr">
        <is>
          <t>London Borough of Wandsworth</t>
        </is>
      </c>
      <c r="C7" s="125" t="inlineStr">
        <is>
          <t>Council</t>
        </is>
      </c>
      <c r="D7" s="126" t="inlineStr">
        <is>
          <t>T3</t>
        </is>
      </c>
      <c r="E7" s="91" t="inlineStr">
        <is>
          <t>Council FOI page / WhatDoTheyKnow</t>
        </is>
      </c>
      <c r="F7" s="91" t="inlineStr">
        <is>
          <t>466 of 878 requests. Harding House, Huguenot Place, Oak Lodge.</t>
        </is>
      </c>
      <c r="G7" s="121" t="inlineStr">
        <is>
          <t>First wave</t>
        </is>
      </c>
    </row>
    <row r="8" ht="36" customHeight="1" s="74">
      <c r="B8" s="90" t="inlineStr">
        <is>
          <t>London Borough of Croydon</t>
        </is>
      </c>
      <c r="C8" s="125" t="inlineStr">
        <is>
          <t>Council</t>
        </is>
      </c>
      <c r="D8" s="126" t="inlineStr">
        <is>
          <t>T3</t>
        </is>
      </c>
      <c r="E8" s="91" t="inlineStr">
        <is>
          <t>Council FOI page / WhatDoTheyKnow</t>
        </is>
      </c>
      <c r="F8" s="91" t="inlineStr">
        <is>
          <t>185 requests. RAD caseworker + Hearing Resource Centre.</t>
        </is>
      </c>
      <c r="G8" s="121" t="inlineStr">
        <is>
          <t>First wave</t>
        </is>
      </c>
    </row>
    <row r="9" ht="36" customHeight="1" s="74">
      <c r="B9" s="90" t="inlineStr">
        <is>
          <t>London Borough of Sutton</t>
        </is>
      </c>
      <c r="C9" s="125" t="inlineStr">
        <is>
          <t>Council</t>
        </is>
      </c>
      <c r="D9" s="126" t="inlineStr">
        <is>
          <t>T3</t>
        </is>
      </c>
      <c r="E9" s="91" t="inlineStr">
        <is>
          <t>Council FOI page / WhatDoTheyKnow</t>
        </is>
      </c>
      <c r="F9" s="91" t="inlineStr">
        <is>
          <t>72 requests vs 15.4% hearing-loss prevalence — possible under-identification.</t>
        </is>
      </c>
      <c r="G9" s="121" t="inlineStr">
        <is>
          <t>First wave</t>
        </is>
      </c>
    </row>
    <row r="10" ht="36" customHeight="1" s="74">
      <c r="B10" s="90" t="inlineStr">
        <is>
          <t>London Borough of Merton</t>
        </is>
      </c>
      <c r="C10" s="125" t="inlineStr">
        <is>
          <t>Council</t>
        </is>
      </c>
      <c r="D10" s="126" t="inlineStr">
        <is>
          <t>T3</t>
        </is>
      </c>
      <c r="E10" s="91" t="inlineStr">
        <is>
          <t>Council FOI page / WhatDoTheyKnow</t>
        </is>
      </c>
      <c r="F10" s="91" t="inlineStr">
        <is>
          <t>68 requests. Merton Centre for Independent Living nearby.</t>
        </is>
      </c>
      <c r="G10" s="121" t="inlineStr">
        <is>
          <t>First wave</t>
        </is>
      </c>
    </row>
    <row r="11" ht="36" customHeight="1" s="74">
      <c r="B11" s="90" t="inlineStr">
        <is>
          <t>Royal Borough of Kingston upon Thames</t>
        </is>
      </c>
      <c r="C11" s="125" t="inlineStr">
        <is>
          <t>Council</t>
        </is>
      </c>
      <c r="D11" s="126" t="inlineStr">
        <is>
          <t>T3</t>
        </is>
      </c>
      <c r="E11" s="91" t="inlineStr">
        <is>
          <t>Council FOI page / WhatDoTheyKnow</t>
        </is>
      </c>
      <c r="F11" s="91" t="inlineStr">
        <is>
          <t>61 requests. Tolworth Hospital in borough.</t>
        </is>
      </c>
      <c r="G11" s="121" t="inlineStr">
        <is>
          <t>First wave</t>
        </is>
      </c>
    </row>
    <row r="12" ht="36" customHeight="1" s="74">
      <c r="B12" s="90" t="inlineStr">
        <is>
          <t>London Borough of Richmond upon Thames</t>
        </is>
      </c>
      <c r="C12" s="125" t="inlineStr">
        <is>
          <t>Council</t>
        </is>
      </c>
      <c r="D12" s="126" t="inlineStr">
        <is>
          <t>T3</t>
        </is>
      </c>
      <c r="E12" s="91" t="inlineStr">
        <is>
          <t>Council FOI page / WhatDoTheyKnow</t>
        </is>
      </c>
      <c r="F12" s="91" t="inlineStr">
        <is>
          <t>26 requests — lowest in SWL. Reason not identified.</t>
        </is>
      </c>
      <c r="G12" s="121" t="inlineStr">
        <is>
          <t>First wave</t>
        </is>
      </c>
    </row>
    <row r="13" ht="36" customHeight="1" s="74">
      <c r="B13" s="90" t="inlineStr">
        <is>
          <t>St George’s University Hospitals NHS FT</t>
        </is>
      </c>
      <c r="C13" s="125" t="inlineStr">
        <is>
          <t>Acute trust</t>
        </is>
      </c>
      <c r="D13" s="126" t="inlineStr">
        <is>
          <t>T2</t>
        </is>
      </c>
      <c r="E13" s="91" t="inlineStr">
        <is>
          <t>Trust FOI page / WhatDoTheyKnow</t>
        </is>
      </c>
      <c r="F13" s="91" t="inlineStr">
        <is>
          <t>Major acute site Wandsworth / Merton.</t>
        </is>
      </c>
      <c r="G13" s="121" t="inlineStr">
        <is>
          <t>First wave</t>
        </is>
      </c>
    </row>
    <row r="14" ht="36" customHeight="1" s="74">
      <c r="B14" s="90" t="inlineStr">
        <is>
          <t>Epsom and St Helier University Hospitals NHS Trust</t>
        </is>
      </c>
      <c r="C14" s="125" t="inlineStr">
        <is>
          <t>Acute trust</t>
        </is>
      </c>
      <c r="D14" s="126" t="inlineStr">
        <is>
          <t>T2</t>
        </is>
      </c>
      <c r="E14" s="91" t="inlineStr">
        <is>
          <t>Trust FOI page / WhatDoTheyKnow</t>
        </is>
      </c>
      <c r="F14" s="91" t="inlineStr">
        <is>
          <t>Sutton and parts of Merton.</t>
        </is>
      </c>
      <c r="G14" s="121" t="inlineStr">
        <is>
          <t>First wave</t>
        </is>
      </c>
    </row>
    <row r="15" ht="36" customHeight="1" s="74">
      <c r="B15" s="90" t="inlineStr">
        <is>
          <t>Kingston Hospital NHS FT</t>
        </is>
      </c>
      <c r="C15" s="125" t="inlineStr">
        <is>
          <t>Acute trust</t>
        </is>
      </c>
      <c r="D15" s="126" t="inlineStr">
        <is>
          <t>T2</t>
        </is>
      </c>
      <c r="E15" s="91" t="inlineStr">
        <is>
          <t>Trust FOI page / WhatDoTheyKnow</t>
        </is>
      </c>
      <c r="F15" s="91" t="inlineStr">
        <is>
          <t>Kingston and Richmond acute.</t>
        </is>
      </c>
      <c r="G15" s="121" t="inlineStr">
        <is>
          <t>First wave</t>
        </is>
      </c>
    </row>
    <row r="16" ht="36" customHeight="1" s="74">
      <c r="B16" s="90" t="inlineStr">
        <is>
          <t>Croydon Health Services NHS Trust</t>
        </is>
      </c>
      <c r="C16" s="125" t="inlineStr">
        <is>
          <t>Acute trust</t>
        </is>
      </c>
      <c r="D16" s="126" t="inlineStr">
        <is>
          <t>T2</t>
        </is>
      </c>
      <c r="E16" s="91" t="inlineStr">
        <is>
          <t>Trust FOI page / WhatDoTheyKnow</t>
        </is>
      </c>
      <c r="F16" s="91" t="inlineStr">
        <is>
          <t>Croydon acute.</t>
        </is>
      </c>
      <c r="G16" s="121" t="inlineStr">
        <is>
          <t>First wave</t>
        </is>
      </c>
    </row>
    <row r="17" ht="36" customHeight="1" s="74">
      <c r="B17" s="90" t="inlineStr">
        <is>
          <t>SWLSTG Mental Health NHS Trust</t>
        </is>
      </c>
      <c r="C17" s="125" t="inlineStr">
        <is>
          <t>Mental health</t>
        </is>
      </c>
      <c r="D17" s="126" t="inlineStr">
        <is>
          <t>T5</t>
        </is>
      </c>
      <c r="E17" s="91" t="inlineStr">
        <is>
          <t>Trust FOI page / WhatDoTheyKnow</t>
        </is>
      </c>
      <c r="F17" s="91" t="inlineStr">
        <is>
          <t>Springfield + Tolworth. Mental-health interpreting is the thinnest part of the national workforce.</t>
        </is>
      </c>
      <c r="G17" s="121" t="inlineStr">
        <is>
          <t>First wave</t>
        </is>
      </c>
    </row>
    <row r="18" ht="36" customHeight="1" s="74">
      <c r="B18" s="90" t="inlineStr">
        <is>
          <t>NHS South East London ICB</t>
        </is>
      </c>
      <c r="C18" s="125" t="inlineStr">
        <is>
          <t>ICB</t>
        </is>
      </c>
      <c r="D18" s="126" t="inlineStr">
        <is>
          <t>T1</t>
        </is>
      </c>
      <c r="E18" s="91" t="inlineStr">
        <is>
          <t>ICB FOI page / WhatDoTheyKnow</t>
        </is>
      </c>
      <c r="F18" s="91" t="inlineStr">
        <is>
          <t>Neighbour ICB. Do not confuse Croydon with SEL.</t>
        </is>
      </c>
      <c r="G18" s="121" t="inlineStr">
        <is>
          <t>First wave</t>
        </is>
      </c>
    </row>
    <row r="19" ht="36" customHeight="1" s="74">
      <c r="B19" s="90" t="inlineStr">
        <is>
          <t>NHS North West London ICB</t>
        </is>
      </c>
      <c r="C19" s="125" t="inlineStr">
        <is>
          <t>ICB</t>
        </is>
      </c>
      <c r="D19" s="126" t="inlineStr">
        <is>
          <t>T1</t>
        </is>
      </c>
      <c r="E19" s="91" t="inlineStr">
        <is>
          <t>ICB FOI page / WhatDoTheyKnow</t>
        </is>
      </c>
      <c r="F19" s="91" t="inlineStr">
        <is>
          <t>Neighbour. Cross-border GP already logged by Healthwatch.</t>
        </is>
      </c>
      <c r="G19" s="121" t="inlineStr">
        <is>
          <t>First wave</t>
        </is>
      </c>
    </row>
    <row r="20" ht="36" customHeight="1" s="74">
      <c r="B20" s="93" t="inlineStr">
        <is>
          <t>NHS North Central London ICB</t>
        </is>
      </c>
      <c r="C20" s="127" t="inlineStr">
        <is>
          <t>ICB</t>
        </is>
      </c>
      <c r="D20" s="128" t="inlineStr">
        <is>
          <t>T1</t>
        </is>
      </c>
      <c r="E20" s="94" t="inlineStr">
        <is>
          <t>ICB FOI page / WhatDoTheyKnow</t>
        </is>
      </c>
      <c r="F20" s="94" t="inlineStr">
        <is>
          <t>Completes London once wave 1 is out.</t>
        </is>
      </c>
      <c r="G20" s="129" t="inlineStr">
        <is>
          <t>Second wave</t>
        </is>
      </c>
    </row>
    <row r="21" ht="36" customHeight="1" s="74">
      <c r="B21" s="93" t="inlineStr">
        <is>
          <t>NHS North East London ICB</t>
        </is>
      </c>
      <c r="C21" s="127" t="inlineStr">
        <is>
          <t>ICB</t>
        </is>
      </c>
      <c r="D21" s="128" t="inlineStr">
        <is>
          <t>T1</t>
        </is>
      </c>
      <c r="E21" s="94" t="inlineStr">
        <is>
          <t>ICB FOI page / WhatDoTheyKnow</t>
        </is>
      </c>
      <c r="F21" s="94" t="inlineStr">
        <is>
          <t>Completes London once wave 1 is out.</t>
        </is>
      </c>
      <c r="G21" s="129" t="inlineStr">
        <is>
          <t>Second wave</t>
        </is>
      </c>
    </row>
    <row r="23" ht="15.75" customHeight="1" s="74">
      <c r="B23" s="97" t="inlineStr">
        <is>
          <t>Also useful, not FOI</t>
        </is>
      </c>
    </row>
    <row r="24" ht="19.5" customHeight="1" s="74">
      <c r="B24" s="83" t="inlineStr">
        <is>
          <t>WhatDoTheyKnow — https://www.whatdotheyknow.com — file here so the next volunteer can read the answer.</t>
        </is>
      </c>
      <c r="C24" s="81" t="n"/>
      <c r="D24" s="81" t="n"/>
      <c r="E24" s="81" t="n"/>
      <c r="F24" s="81" t="n"/>
      <c r="G24" s="81" t="n"/>
    </row>
    <row r="25" ht="19.5" customHeight="1" s="74">
      <c r="B25" s="84" t="inlineStr">
        <is>
          <t>NRCPD register — https://nrcpd.org.uk/registration-figures — interpreter workforce stock, not demand.</t>
        </is>
      </c>
      <c r="C25" s="81" t="n"/>
      <c r="D25" s="81" t="n"/>
      <c r="E25" s="81" t="n"/>
      <c r="F25" s="81" t="n"/>
      <c r="G25" s="81" t="n"/>
    </row>
    <row r="26" ht="19.5" customHeight="1" s="74">
      <c r="B26" s="83" t="inlineStr">
        <is>
          <t>Healthwatch Croydon SWL BSL ICB report (March 2026) — source of the 878.</t>
        </is>
      </c>
      <c r="C26" s="81" t="n"/>
      <c r="D26" s="81" t="n"/>
      <c r="E26" s="81" t="n"/>
      <c r="F26" s="81" t="n"/>
      <c r="G26" s="81" t="n"/>
    </row>
    <row r="27" ht="19.5" customHeight="1" s="74">
      <c r="B27" s="84" t="inlineStr">
        <is>
          <t>Greater Manchester FOI 2025/1383 — only other public locality table. On the Known data sheet.</t>
        </is>
      </c>
      <c r="C27" s="81" t="n"/>
      <c r="D27" s="81" t="n"/>
      <c r="E27" s="81" t="n"/>
      <c r="F27" s="81" t="n"/>
      <c r="G27" s="81" t="n"/>
    </row>
    <row r="28" ht="19.5" customHeight="1" s="74">
      <c r="B28" s="83" t="inlineStr">
        <is>
          <t>Locked Out (27 Nov 2025, GOV.UK) — national access evidence, not local counts.</t>
        </is>
      </c>
      <c r="C28" s="81" t="n"/>
      <c r="D28" s="81" t="n"/>
      <c r="E28" s="81" t="n"/>
      <c r="F28" s="81" t="n"/>
      <c r="G28" s="81" t="n"/>
    </row>
  </sheetData>
  <mergeCells count="8">
    <mergeCell ref="B3:G3"/>
    <mergeCell ref="B2:G2"/>
    <mergeCell ref="B24:G24"/>
    <mergeCell ref="B28:G28"/>
    <mergeCell ref="B23:G23"/>
    <mergeCell ref="B27:G27"/>
    <mergeCell ref="B26:G26"/>
    <mergeCell ref="B25:G25"/>
  </mergeCells>
  <printOptions horizontalCentered="0" verticalCentered="0" headings="0" gridLines="0" gridLinesSet="1"/>
  <pageMargins left="0.5" right="0.5" top="0.6" bottom="0.6" header="0.3" footer="0.3"/>
  <pageSetup orientation="landscape" paperSize="9" scale="100" fitToHeight="0" fitToWidth="1" pageOrder="downThenOver" blackAndWhite="0" draft="0" horizontalDpi="300" verticalDpi="300" copies="1"/>
  <headerFooter differentOddEven="0" differentFirst="0">
    <oddHeader>&amp;LContacts</oddHeader>
    <oddFooter>&amp;LDeaf DeafBlind volunteer team  ·  companion to the gap tracker&amp;RPage &amp;P of &amp;N</oddFooter>
    <evenHeader/>
    <evenFooter/>
    <firstHeader/>
    <firstFooter/>
  </headerFooter>
</worksheet>
</file>

<file path=xl/worksheets/sheet11.xml><?xml version="1.0" encoding="utf-8"?>
<worksheet xmlns="http://schemas.openxmlformats.org/spreadsheetml/2006/main">
  <sheetPr filterMode="0">
    <tabColor rgb="FF1A472A"/>
    <outlinePr summaryBelow="1" summaryRight="1"/>
    <pageSetUpPr fitToPage="1"/>
  </sheetPr>
  <dimension ref="B2:H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73" min="1" max="1"/>
    <col width="28" customWidth="1" style="73" min="2" max="2"/>
    <col width="16" customWidth="1" style="73" min="3" max="3"/>
    <col width="14" customWidth="1" style="73" min="4" max="6"/>
    <col width="16" customWidth="1" style="73" min="7" max="7"/>
    <col width="36" customWidth="1" style="73" min="8" max="8"/>
  </cols>
  <sheetData>
    <row r="2" ht="21.75" customHeight="1" s="74">
      <c r="B2" s="88" t="inlineStr">
        <is>
          <t>Already-public figures — do not treat these as new FOI answers</t>
        </is>
      </c>
    </row>
    <row r="3" ht="15" customHeight="1" s="74">
      <c r="B3" s="76" t="inlineStr">
        <is>
          <t>These numbers are locked reference. Paste new FOI results on the Request log, not over this sheet.</t>
        </is>
      </c>
    </row>
    <row r="5" ht="15.75" customHeight="1" s="74">
      <c r="B5" s="97" t="inlineStr">
        <is>
          <t>South West London ICB — GP BSL requests, Oct 2024 to Jun 2025</t>
        </is>
      </c>
    </row>
    <row r="6" ht="21.75" customHeight="1" s="74">
      <c r="B6" s="89" t="inlineStr">
        <is>
          <t>Borough</t>
        </is>
      </c>
      <c r="C6" s="89" t="inlineStr">
        <is>
          <t>Population</t>
        </is>
      </c>
      <c r="D6" s="89" t="inlineStr">
        <is>
          <t>BSL requests</t>
        </is>
      </c>
      <c r="E6" s="89" t="inlineStr">
        <is>
          <t>Share of SWL</t>
        </is>
      </c>
      <c r="F6" s="89" t="inlineStr">
        <is>
          <t>Per 10,000</t>
        </is>
      </c>
      <c r="G6" s="89" t="inlineStr">
        <is>
          <t>Period</t>
        </is>
      </c>
      <c r="H6" s="89" t="inlineStr">
        <is>
          <t>Notes</t>
        </is>
      </c>
    </row>
    <row r="7" ht="21.75" customHeight="1" s="74">
      <c r="B7" s="123" t="inlineStr">
        <is>
          <t>Wandsworth</t>
        </is>
      </c>
      <c r="C7" s="130" t="n">
        <v>340000</v>
      </c>
      <c r="D7" s="131" t="n">
        <v>466</v>
      </c>
      <c r="E7" s="132">
        <f>IF(SUM($D$7:$D$12)=0,"",D7/SUM($D$7:$D$12))</f>
        <v/>
      </c>
      <c r="F7" s="133">
        <f>IF(C7=0,"",D7/C7*10000)</f>
        <v/>
      </c>
      <c r="G7" s="134" t="inlineStr">
        <is>
          <t>Oct 2024–Jun 2025</t>
        </is>
      </c>
      <c r="H7" s="135" t="inlineStr">
        <is>
          <t>Two Achieving Together Deaf care homes + Oak Lodge School</t>
        </is>
      </c>
    </row>
    <row r="8" ht="21.75" customHeight="1" s="74">
      <c r="B8" s="123" t="inlineStr">
        <is>
          <t>Croydon</t>
        </is>
      </c>
      <c r="C8" s="130" t="n">
        <v>410000</v>
      </c>
      <c r="D8" s="131" t="n">
        <v>185</v>
      </c>
      <c r="E8" s="132">
        <f>IF(SUM($D$7:$D$12)=0,"",D8/SUM($D$7:$D$12))</f>
        <v/>
      </c>
      <c r="F8" s="133">
        <f>IF(C8=0,"",D8/C8*10000)</f>
        <v/>
      </c>
      <c r="G8" s="134" t="inlineStr">
        <is>
          <t>Oct 2024–Jun 2025</t>
        </is>
      </c>
      <c r="H8" s="135" t="inlineStr">
        <is>
          <t>Largest borough. RAD caseworker + Hearing Resource Centre</t>
        </is>
      </c>
    </row>
    <row r="9" ht="21.75" customHeight="1" s="74">
      <c r="B9" s="123" t="inlineStr">
        <is>
          <t>Sutton</t>
        </is>
      </c>
      <c r="C9" s="130" t="n">
        <v>214000</v>
      </c>
      <c r="D9" s="131" t="n">
        <v>72</v>
      </c>
      <c r="E9" s="132">
        <f>IF(SUM($D$7:$D$12)=0,"",D9/SUM($D$7:$D$12))</f>
        <v/>
      </c>
      <c r="F9" s="133">
        <f>IF(C9=0,"",D9/C9*10000)</f>
        <v/>
      </c>
      <c r="G9" s="134" t="inlineStr">
        <is>
          <t>Oct 2024–Jun 2025</t>
        </is>
      </c>
      <c r="H9" s="135" t="inlineStr">
        <is>
          <t>15.4% hearing-loss prevalence; low BSL volume</t>
        </is>
      </c>
    </row>
    <row r="10" ht="21.75" customHeight="1" s="74">
      <c r="B10" s="123" t="inlineStr">
        <is>
          <t>Merton</t>
        </is>
      </c>
      <c r="C10" s="130" t="n">
        <v>219000</v>
      </c>
      <c r="D10" s="131" t="n">
        <v>68</v>
      </c>
      <c r="E10" s="132">
        <f>IF(SUM($D$7:$D$12)=0,"",D10/SUM($D$7:$D$12))</f>
        <v/>
      </c>
      <c r="F10" s="133">
        <f>IF(C10=0,"",D10/C10*10000)</f>
        <v/>
      </c>
      <c r="G10" s="134" t="inlineStr">
        <is>
          <t>Oct 2024–Jun 2025</t>
        </is>
      </c>
      <c r="H10" s="135" t="inlineStr">
        <is>
          <t>Merton Centre for Independent Living nearby</t>
        </is>
      </c>
    </row>
    <row r="11" ht="21.75" customHeight="1" s="74">
      <c r="B11" s="123" t="inlineStr">
        <is>
          <t>Kingston upon Thames</t>
        </is>
      </c>
      <c r="C11" s="130" t="n">
        <v>173000</v>
      </c>
      <c r="D11" s="131" t="n">
        <v>61</v>
      </c>
      <c r="E11" s="132">
        <f>IF(SUM($D$7:$D$12)=0,"",D11/SUM($D$7:$D$12))</f>
        <v/>
      </c>
      <c r="F11" s="133">
        <f>IF(C11=0,"",D11/C11*10000)</f>
        <v/>
      </c>
      <c r="G11" s="134" t="inlineStr">
        <is>
          <t>Oct 2024–Jun 2025</t>
        </is>
      </c>
      <c r="H11" s="135" t="inlineStr">
        <is>
          <t>Tolworth Hospital (SWLSTG) in borough</t>
        </is>
      </c>
    </row>
    <row r="12" ht="21.75" customHeight="1" s="74">
      <c r="B12" s="123" t="inlineStr">
        <is>
          <t>Richmond upon Thames</t>
        </is>
      </c>
      <c r="C12" s="130" t="n">
        <v>197000</v>
      </c>
      <c r="D12" s="131" t="n">
        <v>26</v>
      </c>
      <c r="E12" s="132">
        <f>IF(SUM($D$7:$D$12)=0,"",D12/SUM($D$7:$D$12))</f>
        <v/>
      </c>
      <c r="F12" s="133">
        <f>IF(C12=0,"",D12/C12*10000)</f>
        <v/>
      </c>
      <c r="G12" s="134" t="inlineStr">
        <is>
          <t>Oct 2024–Jun 2025</t>
        </is>
      </c>
      <c r="H12" s="135" t="inlineStr">
        <is>
          <t>Lowest volume; reason not identified</t>
        </is>
      </c>
    </row>
    <row r="13" ht="32.25" customHeight="1" s="74">
      <c r="B13" s="105" t="inlineStr">
        <is>
          <t>SWL total</t>
        </is>
      </c>
      <c r="C13" s="136">
        <f>SUM(C7:C12)</f>
        <v/>
      </c>
      <c r="D13" s="136">
        <f>SUM(D7:D12)</f>
        <v/>
      </c>
      <c r="E13" s="137">
        <f>IF(D13=0,"",1)</f>
        <v/>
      </c>
      <c r="F13" s="138">
        <f>IF(C13=0,"",D13/C13*10000)</f>
        <v/>
      </c>
      <c r="G13" s="101" t="inlineStr">
        <is>
          <t>9 months</t>
        </is>
      </c>
      <c r="H13" s="139" t="inlineStr">
        <is>
          <t>Healthwatch Croydon / SWL ICB report, March 2026. Requests, not unique patients. GP only.</t>
        </is>
      </c>
    </row>
    <row r="15" ht="15.75" customHeight="1" s="74">
      <c r="B15" s="97" t="inlineStr">
        <is>
          <t>Greater Manchester ICB — annual average BSL requests by locality (FOI 2025/1383)</t>
        </is>
      </c>
    </row>
    <row r="16" ht="21.75" customHeight="1" s="74">
      <c r="B16" s="89" t="inlineStr">
        <is>
          <t>Locality</t>
        </is>
      </c>
      <c r="C16" s="89" t="inlineStr">
        <is>
          <t>Avg annual requests</t>
        </is>
      </c>
      <c r="D16" s="89" t="inlineStr">
        <is>
          <t>Failure / unfilled</t>
        </is>
      </c>
      <c r="E16" s="89" t="inlineStr">
        <is>
          <t>Response time</t>
        </is>
      </c>
      <c r="F16" s="89" t="n"/>
      <c r="G16" s="89" t="inlineStr">
        <is>
          <t>Period</t>
        </is>
      </c>
      <c r="H16" s="89" t="inlineStr">
        <is>
          <t>Notes</t>
        </is>
      </c>
    </row>
    <row r="17" ht="19.5" customHeight="1" s="74">
      <c r="B17" s="123" t="inlineStr">
        <is>
          <t>Manchester</t>
        </is>
      </c>
      <c r="C17" s="130" t="n">
        <v>370</v>
      </c>
      <c r="D17" s="140" t="inlineStr">
        <is>
          <t>Held in contract — not published</t>
        </is>
      </c>
      <c r="E17" s="140" t="inlineStr">
        <is>
          <t>Contract-managed</t>
        </is>
      </c>
      <c r="F17" s="140" t="n"/>
      <c r="G17" s="134" t="inlineStr">
        <is>
          <t>Annual average, FOI 2025</t>
        </is>
      </c>
      <c r="H17" s="135" t="inlineStr">
        <is>
          <t>Highest GM volume</t>
        </is>
      </c>
    </row>
    <row r="18" ht="19.5" customHeight="1" s="74">
      <c r="B18" s="123" t="inlineStr">
        <is>
          <t>Trafford</t>
        </is>
      </c>
      <c r="C18" s="130" t="n">
        <v>277</v>
      </c>
      <c r="D18" s="140" t="inlineStr">
        <is>
          <t>31% cancelled / unfulfilled</t>
        </is>
      </c>
      <c r="E18" s="140" t="inlineStr">
        <is>
          <t>Not held</t>
        </is>
      </c>
      <c r="F18" s="140" t="n"/>
      <c r="G18" s="134" t="inlineStr">
        <is>
          <t>Annual average, FOI 2025</t>
        </is>
      </c>
      <c r="H18" s="135" t="inlineStr">
        <is>
          <t>Only GM locality with a published failure rate of this size</t>
        </is>
      </c>
    </row>
    <row r="19" ht="19.5" customHeight="1" s="74">
      <c r="B19" s="123" t="inlineStr">
        <is>
          <t>Bolton</t>
        </is>
      </c>
      <c r="C19" s="130" t="n">
        <v>229</v>
      </c>
      <c r="D19" s="140" t="inlineStr">
        <is>
          <t>Not held</t>
        </is>
      </c>
      <c r="E19" s="140" t="inlineStr">
        <is>
          <t>24 hours</t>
        </is>
      </c>
      <c r="F19" s="140" t="n"/>
      <c r="G19" s="134" t="inlineStr">
        <is>
          <t>Annual average, FOI 2025</t>
        </is>
      </c>
      <c r="H19" s="135" t="n"/>
    </row>
    <row r="20" ht="19.5" customHeight="1" s="74">
      <c r="B20" s="123" t="inlineStr">
        <is>
          <t>Stockport</t>
        </is>
      </c>
      <c r="C20" s="130" t="n">
        <v>198</v>
      </c>
      <c r="D20" s="140" t="inlineStr">
        <is>
          <t>Not held</t>
        </is>
      </c>
      <c r="E20" s="140" t="inlineStr">
        <is>
          <t>Not held</t>
        </is>
      </c>
      <c r="F20" s="140" t="n"/>
      <c r="G20" s="134" t="inlineStr">
        <is>
          <t>Annual average, FOI 2025</t>
        </is>
      </c>
      <c r="H20" s="135" t="n"/>
    </row>
    <row r="21" ht="19.5" customHeight="1" s="74">
      <c r="B21" s="123" t="inlineStr">
        <is>
          <t>Heywood, Middleton &amp; Rochdale</t>
        </is>
      </c>
      <c r="C21" s="130" t="n">
        <v>180</v>
      </c>
      <c r="D21" s="140" t="inlineStr">
        <is>
          <t>None reported</t>
        </is>
      </c>
      <c r="E21" s="140" t="inlineStr">
        <is>
          <t>Not held</t>
        </is>
      </c>
      <c r="F21" s="140" t="n"/>
      <c r="G21" s="134" t="inlineStr">
        <is>
          <t>Annual average, FOI 2025</t>
        </is>
      </c>
      <c r="H21" s="135" t="n"/>
    </row>
    <row r="22" ht="19.5" customHeight="1" s="74">
      <c r="B22" s="123" t="inlineStr">
        <is>
          <t>Salford</t>
        </is>
      </c>
      <c r="C22" s="130" t="n">
        <v>131</v>
      </c>
      <c r="D22" s="140" t="inlineStr">
        <is>
          <t>13.3% failure</t>
        </is>
      </c>
      <c r="E22" s="140" t="inlineStr">
        <is>
          <t>15.68 seconds (likely VRS)</t>
        </is>
      </c>
      <c r="F22" s="140" t="n"/>
      <c r="G22" s="134" t="inlineStr">
        <is>
          <t>Annual average, FOI 2025</t>
        </is>
      </c>
      <c r="H22" s="135" t="inlineStr">
        <is>
          <t>Seconds figure is not comparable with 24-hour figures</t>
        </is>
      </c>
    </row>
    <row r="23" ht="19.5" customHeight="1" s="74">
      <c r="B23" s="123" t="inlineStr">
        <is>
          <t>Bury</t>
        </is>
      </c>
      <c r="C23" s="130" t="n">
        <v>88</v>
      </c>
      <c r="D23" s="140" t="inlineStr">
        <is>
          <t>9 cancelled by client (of 88)</t>
        </is>
      </c>
      <c r="E23" s="140" t="inlineStr">
        <is>
          <t>Not held</t>
        </is>
      </c>
      <c r="F23" s="140" t="n"/>
      <c r="G23" s="134" t="inlineStr">
        <is>
          <t>Annual average, FOI 2025</t>
        </is>
      </c>
      <c r="H23" s="135" t="n"/>
    </row>
    <row r="24" ht="19.5" customHeight="1" s="74">
      <c r="B24" s="123" t="inlineStr">
        <is>
          <t>Oldham</t>
        </is>
      </c>
      <c r="C24" s="130" t="n">
        <v>66</v>
      </c>
      <c r="D24" s="140" t="inlineStr">
        <is>
          <t>Not held</t>
        </is>
      </c>
      <c r="E24" s="140" t="inlineStr">
        <is>
          <t>1–2 hours up to 48 hours</t>
        </is>
      </c>
      <c r="F24" s="140" t="n"/>
      <c r="G24" s="134" t="inlineStr">
        <is>
          <t>Annual average, FOI 2025</t>
        </is>
      </c>
      <c r="H24" s="135" t="n"/>
    </row>
    <row r="25" ht="19.5" customHeight="1" s="74">
      <c r="B25" s="95" t="inlineStr">
        <is>
          <t>Tameside</t>
        </is>
      </c>
      <c r="C25" s="122" t="inlineStr">
        <is>
          <t>Not held</t>
        </is>
      </c>
      <c r="D25" s="141" t="inlineStr">
        <is>
          <t>Not held</t>
        </is>
      </c>
      <c r="E25" s="141" t="inlineStr">
        <is>
          <t>Not held</t>
        </is>
      </c>
      <c r="F25" s="141" t="n"/>
      <c r="G25" s="142" t="inlineStr">
        <is>
          <t>Annual average, FOI 2025</t>
        </is>
      </c>
      <c r="H25" s="143" t="inlineStr">
        <is>
          <t>Information not held</t>
        </is>
      </c>
    </row>
    <row r="26" ht="19.5" customHeight="1" s="74">
      <c r="B26" s="95" t="inlineStr">
        <is>
          <t>Wigan</t>
        </is>
      </c>
      <c r="C26" s="122" t="inlineStr">
        <is>
          <t>Not held</t>
        </is>
      </c>
      <c r="D26" s="141" t="inlineStr">
        <is>
          <t>Not held</t>
        </is>
      </c>
      <c r="E26" s="141" t="inlineStr">
        <is>
          <t>Not held</t>
        </is>
      </c>
      <c r="F26" s="141" t="n"/>
      <c r="G26" s="142" t="inlineStr">
        <is>
          <t>Annual average, FOI 2025</t>
        </is>
      </c>
      <c r="H26" s="143" t="inlineStr">
        <is>
          <t>Information not held</t>
        </is>
      </c>
    </row>
    <row r="27" ht="32.25" customHeight="1" s="74">
      <c r="B27" s="105" t="inlineStr">
        <is>
          <t>GM localities with a number</t>
        </is>
      </c>
      <c r="C27" s="78">
        <f>COUNT(C17:C26)</f>
        <v/>
      </c>
      <c r="D27" s="101" t="inlineStr">
        <is>
          <t>Sum of published averages</t>
        </is>
      </c>
      <c r="E27" s="136">
        <f>SUM(C17:C26)</f>
        <v/>
      </c>
      <c r="F27" s="78" t="n"/>
      <c r="G27" s="101" t="inlineStr">
        <is>
          <t>Not comparable with SWL 878</t>
        </is>
      </c>
      <c r="H27" s="139" t="inlineStr">
        <is>
          <t>Averages, not a dated extract. Combined GM primary-care BSL spend cited at c. £270,819 for 2025/26.</t>
        </is>
      </c>
    </row>
    <row r="29" ht="24" customHeight="1" s="74">
      <c r="B29" s="144" t="inlineStr">
        <is>
          <t>Do not add column C of GM to cell D13 of SWL. Different question, different period, different commissioning footprint.</t>
        </is>
      </c>
    </row>
  </sheetData>
  <mergeCells count="5">
    <mergeCell ref="B2:H2"/>
    <mergeCell ref="B29:H29"/>
    <mergeCell ref="B15:H15"/>
    <mergeCell ref="B3:H3"/>
    <mergeCell ref="B5:H5"/>
  </mergeCells>
  <printOptions horizontalCentered="0" verticalCentered="0" headings="0" gridLines="0" gridLinesSet="1"/>
  <pageMargins left="0.5" right="0.5" top="0.6" bottom="0.6" header="0.3" footer="0.3"/>
  <pageSetup orientation="landscape" paperSize="9" scale="100" fitToHeight="0" fitToWidth="1" pageOrder="downThenOver" blackAndWhite="0" draft="0" horizontalDpi="300" verticalDpi="300" copies="1"/>
  <headerFooter differentOddEven="0" differentFirst="0">
    <oddHeader>&amp;LKnown public data</oddHeader>
    <oddFooter>&amp;LDeaf DeafBlind volunteer team  ·  companion to the gap tracker&amp;RPage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2026-08-31T22:51:48Z</dcterms:created>
  <dcterms:modified xmlns:dcterms="http://purl.org/dc/terms/" xmlns:xsi="http://www.w3.org/2001/XMLSchema-instance" xsi:type="dcterms:W3CDTF">2026-09-08T16:45:09Z</dcterms:modified>
  <cp:revision>0</cp:revision>
</cp:coreProperties>
</file>