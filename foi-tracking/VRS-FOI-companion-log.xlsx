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use" sheetId="1" state="visible" r:id="rId1"/>
    <sheet xmlns:r="http://schemas.openxmlformats.org/officeDocument/2006/relationships" name="Targets index" sheetId="2" state="visible" r:id="rId2"/>
    <sheet xmlns:r="http://schemas.openxmlformats.org/officeDocument/2006/relationships" name="Letters" sheetId="3" state="visible" r:id="rId3"/>
    <sheet xmlns:r="http://schemas.openxmlformats.org/officeDocument/2006/relationships" name="Request log" sheetId="4" state="visible" r:id="rId4"/>
    <sheet xmlns:r="http://schemas.openxmlformats.org/officeDocument/2006/relationships" name="Contact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h:mm:ss"/>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color rgb="FF1F3864"/>
      <sz val="11"/>
    </font>
    <font>
      <name val="Arial"/>
      <charset val="1"/>
      <family val="0"/>
      <b val="1"/>
      <sz val="10"/>
    </font>
    <font>
      <name val="Arial"/>
      <charset val="1"/>
      <family val="0"/>
      <sz val="10"/>
    </font>
    <font>
      <name val="Arial"/>
      <charset val="1"/>
      <family val="0"/>
      <b val="1"/>
      <color rgb="FFFFFFFF"/>
      <sz val="10"/>
    </font>
    <font>
      <name val="Arial"/>
      <charset val="1"/>
      <family val="0"/>
      <b val="1"/>
      <color rgb="FFC00000"/>
      <sz val="10"/>
    </font>
    <font>
      <name val="Arial"/>
      <charset val="1"/>
      <family val="0"/>
      <i val="1"/>
      <sz val="9"/>
    </font>
    <font>
      <name val="Arial"/>
      <charset val="1"/>
      <family val="0"/>
      <i val="1"/>
      <color rgb="FF595959"/>
      <sz val="9"/>
    </font>
    <font>
      <name val="Arial"/>
      <charset val="1"/>
      <family val="0"/>
      <i val="1"/>
      <sz val="10"/>
    </font>
    <font>
      <name val="Arial"/>
      <charset val="1"/>
      <family val="0"/>
      <b val="1"/>
      <color rgb="FF1F3864"/>
      <sz val="12"/>
    </font>
  </fonts>
  <fills count="6">
    <fill>
      <patternFill/>
    </fill>
    <fill>
      <patternFill patternType="gray125"/>
    </fill>
    <fill>
      <patternFill patternType="solid">
        <fgColor rgb="FF1F3864"/>
        <bgColor rgb="FF333333"/>
      </patternFill>
    </fill>
    <fill>
      <patternFill patternType="solid">
        <fgColor rgb="FFF2F2F2"/>
        <bgColor rgb="FFFFFFF0"/>
      </patternFill>
    </fill>
    <fill>
      <patternFill patternType="solid">
        <fgColor rgb="FFFFFF00"/>
        <bgColor rgb="FFFFFF00"/>
      </patternFill>
    </fill>
    <fill>
      <patternFill patternType="solid">
        <fgColor rgb="FFFFFFF0"/>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0"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0" applyAlignment="1" pivotButton="0" quotePrefix="0" xfId="0">
      <alignment horizontal="general" vertical="top" wrapText="1"/>
    </xf>
    <xf numFmtId="164" fontId="8" fillId="4" borderId="0"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5"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7" fillId="0" borderId="0" applyAlignment="1" pivotButton="0" quotePrefix="0" xfId="0">
      <alignment horizontal="general" vertical="top" wrapText="1"/>
    </xf>
    <xf numFmtId="164" fontId="0" fillId="0" borderId="0"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0"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0" applyAlignment="1" pivotButton="0" quotePrefix="0" xfId="0">
      <alignment horizontal="general" vertical="top" wrapText="1"/>
    </xf>
    <xf numFmtId="164" fontId="8" fillId="4" borderId="0"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5"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7" fillId="0" borderId="0" applyAlignment="1" pivotButton="0" quotePrefix="0" xfId="0">
      <alignment horizontal="general" vertical="top" wrapText="1"/>
    </xf>
    <xf numFmtId="164" fontId="0" fillId="0" borderId="0" applyAlignment="1" pivotButton="0" quotePrefix="0" xfId="0">
      <alignment horizontal="general" vertical="bottom"/>
    </xf>
    <xf numFmtId="0" fontId="1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color rgb="FF9C0006"/>
      </font>
      <fill>
        <patternFill>
          <bgColor rgb="FFFFC7CE"/>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FF0"/>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9" min="1" max="1"/>
    <col width="6" customWidth="1" style="19" min="2" max="2"/>
    <col width="95" customWidth="1" style="19" min="3" max="3"/>
  </cols>
  <sheetData>
    <row r="2" ht="17.35" customHeight="1" s="20">
      <c r="B2" s="21" t="inlineStr">
        <is>
          <t>VRS / Telecoms Equity — FOI companion log</t>
        </is>
      </c>
    </row>
    <row r="3" ht="583.55" customHeight="1" s="20">
      <c r="B3" s="22" t="inlineStr">
        <is>
          <t>Ready-to-send Freedom of Information letters and a live request log for Domain 17 (Video Relay Service &amp; Telecoms Equity). Companion to BSL_DOMAIN_video_relay_telecoms.md and VERIFICATION_STATUS.md. Built 6 September 2026, from the domain file's "FOI Targets Arising" list.</t>
        </is>
      </c>
    </row>
    <row r="5" ht="15" customHeight="1" s="20">
      <c r="B5" s="23" t="inlineStr">
        <is>
          <t>How this workbook is meant to be used</t>
        </is>
      </c>
    </row>
    <row r="6" ht="35.05" customHeight="1" s="20">
      <c r="B6" s="24" t="inlineStr">
        <is>
          <t>1</t>
        </is>
      </c>
      <c r="C6" s="25" t="inlineStr">
        <is>
          <t>Pick a letter. Open the Targets index. Nineteen ready-to-send letters cover national regulators (Ofcom, ICO, DCMS), NHS bodies, DWP/Access to Work, Crown Commercial Service, the Scottish Government, and Sheffield City Council — one specific ask per body, not a shared multi-part questionnaire.</t>
        </is>
      </c>
    </row>
    <row r="7" ht="23.85" customHeight="1" s="20">
      <c r="B7" s="24" t="inlineStr">
        <is>
          <t>2</t>
        </is>
      </c>
      <c r="C7" s="25" t="inlineStr">
        <is>
          <t>Open the Letters sheet. Each target is a full letter block. Yellow cells are the only fields you change (your name, email, today's date). The numbered questions stay as written.</t>
        </is>
      </c>
    </row>
    <row r="8" ht="23.85" customHeight="1" s="20">
      <c r="B8" s="24" t="inlineStr">
        <is>
          <t>3</t>
        </is>
      </c>
      <c r="C8" s="25" t="inlineStr">
        <is>
          <t>Send it twice if you can. Paste into the body's own FOI email/form, and also onto WhatDoTheyKnow so the answer stays public for future research on this project.</t>
        </is>
      </c>
    </row>
    <row r="9" ht="23.85" customHeight="1" s="20">
      <c r="B9" s="24" t="inlineStr">
        <is>
          <t>4</t>
        </is>
      </c>
      <c r="C9" s="25" t="inlineStr">
        <is>
          <t>Log it the same day. Add a row on the Request log sheet (first-wave rows are pre-filled, status 'Not sent'). Status becomes 'Sent'. Due date is 20 working days — the sheet calculates it.</t>
        </is>
      </c>
    </row>
    <row r="10" ht="23.85" customHeight="1" s="20">
      <c r="B10" s="24" t="inlineStr">
        <is>
          <t>5</t>
        </is>
      </c>
      <c r="C10" s="25" t="inlineStr">
        <is>
          <t>File the answer in the same row. Paste the headline numbers, the exact refusal wording, and the WhatDoTheyKnow link. Then update the domain file's status for that item from Lead-only to Confirmed.</t>
        </is>
      </c>
    </row>
    <row r="12" ht="15" customHeight="1" s="20">
      <c r="B12" s="23" t="inlineStr">
        <is>
          <t>Working rules — do not skip these</t>
        </is>
      </c>
    </row>
    <row r="13" ht="23.85" customHeight="1" s="20">
      <c r="B13" s="24" t="inlineStr">
        <is>
          <t>•</t>
        </is>
      </c>
      <c r="C13" s="25" t="inlineStr">
        <is>
          <t>Use a real name and a real reply email. Public authorities can refuse a request made under an obvious pseudonym; an email address is a valid postal address under the Act.</t>
        </is>
      </c>
    </row>
    <row r="14" ht="23.85" customHeight="1" s="20">
      <c r="B14" s="24" t="inlineStr">
        <is>
          <t>•</t>
        </is>
      </c>
      <c r="C14" s="25" t="inlineStr">
        <is>
          <t>One request, one recipient body. Where two open items point at the same body (e.g. Crown Commercial Service), they have been combined into a single letter rather than sent twice — see target #4.</t>
        </is>
      </c>
    </row>
    <row r="15" ht="23.85" customHeight="1" s="20">
      <c r="B15" s="24" t="inlineStr">
        <is>
          <t>•</t>
        </is>
      </c>
      <c r="C15" s="25" t="inlineStr">
        <is>
          <t>Prefer WhatDoTheyKnow for every send. It keeps the question and the answer public, which is exactly the discipline this project already applies to its own sourcing.</t>
        </is>
      </c>
    </row>
    <row r="16" ht="23.85" customHeight="1" s="20">
      <c r="B16" s="24" t="inlineStr">
        <is>
          <t>•</t>
        </is>
      </c>
      <c r="C16" s="25" t="inlineStr">
        <is>
          <t>The Financial Ombudsman Service (target #10) is not a public authority for most FOIA purposes — that letter is worded as a general enquiry, not a formal FOI request. Send it to FOS's enquiries route, not an FOI portal.</t>
        </is>
      </c>
    </row>
    <row r="17" ht="23.85" customHeight="1" s="20">
      <c r="B17" s="24" t="inlineStr">
        <is>
          <t>•</t>
        </is>
      </c>
      <c r="C17" s="25" t="inlineStr">
        <is>
          <t>If a body cites the Section 12 cost limit (£450 / 18 hours for most bodies), that is a refusal of scope, not of topic. Ask how to narrow the request rather than dropping it.</t>
        </is>
      </c>
    </row>
    <row r="18" ht="46.25" customHeight="1" s="20">
      <c r="B18" s="24" t="inlineStr">
        <is>
          <t>•</t>
        </is>
      </c>
      <c r="C18" s="25" t="inlineStr">
        <is>
          <t>When an answer lands, update the matching item's status in BSL_DOMAIN_video_relay_telecoms.md and VERIFICATION_STATUS.md from 🟡 Lead-only to ✅ Confirmed (or record what the answer actually was, if it changes the finding) — this workbook tracks sending and receipt; the domain files are where the research conclusion itself lives.</t>
        </is>
      </c>
    </row>
    <row r="20" ht="15" customHeight="1" s="20">
      <c r="B20" s="23" t="inlineStr">
        <is>
          <t>Sheets in this file</t>
        </is>
      </c>
    </row>
    <row r="21" ht="15" customHeight="1" s="20">
      <c r="B21" s="24" t="inlineStr">
        <is>
          <t>How to use</t>
        </is>
      </c>
      <c r="C21" s="25" t="inlineStr">
        <is>
          <t>This page.</t>
        </is>
      </c>
    </row>
    <row r="22" ht="15" customHeight="1" s="20">
      <c r="B22" s="24" t="inlineStr">
        <is>
          <t>Targets index</t>
        </is>
      </c>
      <c r="C22" s="25" t="inlineStr">
        <is>
          <t>All 19 letters at a glance: recipient, one-line ask, why it matters, wave.</t>
        </is>
      </c>
    </row>
    <row r="23" ht="15" customHeight="1" s="20">
      <c r="B23" s="24" t="inlineStr">
        <is>
          <t>Letters</t>
        </is>
      </c>
      <c r="C23" s="25" t="inlineStr">
        <is>
          <t>Full copy-paste text for every letter, in target order.</t>
        </is>
      </c>
    </row>
    <row r="24" ht="15" customHeight="1" s="20">
      <c r="B24" s="24" t="inlineStr">
        <is>
          <t>Request log</t>
        </is>
      </c>
      <c r="C24" s="25" t="inlineStr">
        <is>
          <t>Live tracker. First-wave rows pre-filled. Status dropdowns. Days-to-due formula.</t>
        </is>
      </c>
    </row>
    <row r="25" ht="15" customHeight="1" s="20">
      <c r="B25" s="24" t="inlineStr">
        <is>
          <t>Contacts</t>
        </is>
      </c>
      <c r="C25" s="25" t="inlineStr">
        <is>
          <t>Recipient bodies, FOI routes, and notes on confirming the live address before sending.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9" min="1" max="1"/>
    <col width="32" customWidth="1" style="19" min="2" max="2"/>
    <col width="46" customWidth="1" style="19" min="3" max="4"/>
    <col width="12" customWidth="1" style="19" min="5" max="5"/>
  </cols>
  <sheetData>
    <row r="1" ht="15" customHeight="1" s="20">
      <c r="B1" s="23" t="inlineStr">
        <is>
          <t>Targets index — 19 ready-to-send letters, from the domain file's 22-23 logged FOI targets</t>
        </is>
      </c>
    </row>
    <row r="2" ht="79.84999999999999" customHeight="1" s="20">
      <c r="B2" s="22" t="inlineStr">
        <is>
          <t>Two originally-separate items were merged where they shared a recipient body (targets #4 and #15, both Crown Commercial Service). Sheffield City Council was added as target #20, per the domain file's own suggestion. Nineteen letters in total.</t>
        </is>
      </c>
    </row>
    <row r="4" ht="15" customHeight="1" s="20">
      <c r="A4" s="26" t="inlineStr">
        <is>
          <t>#</t>
        </is>
      </c>
      <c r="B4" s="26" t="inlineStr">
        <is>
          <t>Recipient body</t>
        </is>
      </c>
      <c r="C4" s="26" t="inlineStr">
        <is>
          <t>One-line ask</t>
        </is>
      </c>
      <c r="D4" s="26" t="inlineStr">
        <is>
          <t>Why this matters</t>
        </is>
      </c>
      <c r="E4" s="26" t="inlineStr">
        <is>
          <t>Wave</t>
        </is>
      </c>
    </row>
    <row r="5" ht="35.05" customHeight="1" s="20">
      <c r="A5" s="27" t="n">
        <v>1</v>
      </c>
      <c r="B5" s="27" t="inlineStr">
        <is>
          <t>Department for Work and Pensions (Access to Work)</t>
        </is>
      </c>
      <c r="C5" s="27" t="inlineStr">
        <is>
          <t>FOI — isolating VRS-specific spend within Access to Work's Support Worker budget</t>
        </is>
      </c>
      <c r="D5" s="27" t="inlineStr">
        <is>
          <t>Only a bundled £227m/£320.7m Access to Work total exists; no isolated BSL-only or VRS-only spend figure has been found anywhere in this domain's research.</t>
        </is>
      </c>
      <c r="E5" s="27" t="inlineStr">
        <is>
          <t>First wave</t>
        </is>
      </c>
    </row>
    <row r="6" ht="46.25" customHeight="1" s="20">
      <c r="A6" s="28" t="n">
        <v>2</v>
      </c>
      <c r="B6" s="28" t="inlineStr">
        <is>
          <t>Ofcom</t>
        </is>
      </c>
      <c r="C6" s="28" t="inlineStr">
        <is>
          <t>FOI — reassessment of universal (any-number) VRS cost estimates and General Condition C5 scope</t>
        </is>
      </c>
      <c r="D6" s="28" t="inlineStr">
        <is>
          <t>Tests whether the 2011 £41.6-113.4m/yr estimate has ever been revisited, and whether a GC-modification route (secondary regulation) to a national VRS has been considered rather than requiring new legislation.</t>
        </is>
      </c>
      <c r="E6" s="28" t="inlineStr">
        <is>
          <t>First wave</t>
        </is>
      </c>
    </row>
    <row r="7" ht="35.05" customHeight="1" s="20">
      <c r="A7" s="27" t="n">
        <v>3</v>
      </c>
      <c r="B7" s="27" t="inlineStr">
        <is>
          <t>NHS England</t>
        </is>
      </c>
      <c r="C7" s="27" t="inlineStr">
        <is>
          <t>FOI — decision record for the withdrawal of BSL Health Access funding, 31 March 2021</t>
        </is>
      </c>
      <c r="D7" s="27" t="inlineStr">
        <is>
          <t>The only genuinely universal (non-per-organisation) VRS the NHS has run; no public rationale for its closure has been found in this domain's research.</t>
        </is>
      </c>
      <c r="E7" s="27" t="inlineStr">
        <is>
          <t>First wave</t>
        </is>
      </c>
    </row>
    <row r="8" ht="57.45" customHeight="1" s="20">
      <c r="A8" s="28" t="n">
        <v>4</v>
      </c>
      <c r="B8" s="28" t="inlineStr">
        <is>
          <t>Crown Commercial Service</t>
        </is>
      </c>
      <c r="C8" s="28" t="inlineStr">
        <is>
          <t>FOI — RM6302 Lot 4 spend broken out by delivery method and by BSL vs other sign languages</t>
        </is>
      </c>
      <c r="D8" s="28" t="inlineStr">
        <is>
          <t>No isolated BSL-only or VRS-only public-sector spend total exists anywhere in the public record for this framework; combines two related FOI targets (spend breakdown, and reporting-requirement policy) into one request to the same body.</t>
        </is>
      </c>
      <c r="E8" s="28" t="inlineStr">
        <is>
          <t>First wave</t>
        </is>
      </c>
    </row>
    <row r="9" ht="35.05" customHeight="1" s="20">
      <c r="A9" s="27" t="n">
        <v>5</v>
      </c>
      <c r="B9" s="27" t="inlineStr">
        <is>
          <t>Driver and Vehicle Licensing Agency (DVLA)</t>
        </is>
      </c>
      <c r="C9" s="27" t="inlineStr">
        <is>
          <t>FOI — status of the £30,000 BSL video relay service contract since April 2025</t>
        </is>
      </c>
      <c r="D9" s="27" t="inlineStr">
        <is>
          <t>Confirms whether this contract (this domain's smallest confirmed per-organisation VRS spend figure) is still live and at what value.</t>
        </is>
      </c>
      <c r="E9" s="27" t="inlineStr">
        <is>
          <t>Second wave</t>
        </is>
      </c>
    </row>
    <row r="10" ht="57.45" customHeight="1" s="20">
      <c r="A10" s="28" t="n">
        <v>6</v>
      </c>
      <c r="B10" s="28" t="inlineStr">
        <is>
          <t>Information Commissioner's Office (ICO)</t>
        </is>
      </c>
      <c r="C10" s="28" t="inlineStr">
        <is>
          <t>FOI — copy of the ICO's 2 October 2018 letter to the UK Council on Deafness on GDPR and interpreter/relay calls</t>
        </is>
      </c>
      <c r="D10" s="28" t="inlineStr">
        <is>
          <t>Closes the domain's one remaining 'Lead-only for exact wording' item — the substance is doubly corroborated (Ofcom's paraphrase, and a short quote fragment on the FOI page) but the letter itself has never been read first-hand.</t>
        </is>
      </c>
      <c r="E10" s="28" t="inlineStr">
        <is>
          <t>First wave</t>
        </is>
      </c>
    </row>
    <row r="11" ht="46.25" customHeight="1" s="20">
      <c r="A11" s="27" t="n">
        <v>7</v>
      </c>
      <c r="B11" s="27" t="inlineStr">
        <is>
          <t>NHS England (national data / information governance team)</t>
        </is>
      </c>
      <c r="C11" s="27" t="inlineStr">
        <is>
          <t>FOI — reconciling AIS 'with consent' language against the RADF's 'implied consent' language</t>
        </is>
      </c>
      <c r="D11" s="27" t="inlineStr">
        <is>
          <t>A genuine, apparently unreconciled consent-basis inconsistency between two NHS national standards, surfaced during the GDPR research thread (Sections 25-26).</t>
        </is>
      </c>
      <c r="E11" s="27" t="inlineStr">
        <is>
          <t>Second wave</t>
        </is>
      </c>
    </row>
    <row r="12" ht="46.25" customHeight="1" s="20">
      <c r="A12" s="28" t="n">
        <v>8</v>
      </c>
      <c r="B12" s="28" t="inlineStr">
        <is>
          <t>NHS England / a sample of NHS interpreting agencies</t>
        </is>
      </c>
      <c r="C12" s="28" t="inlineStr">
        <is>
          <t>FOI — whether interpreter booking-data non-sharing (cited as a GDPR barrier) has been addressed since 2019</t>
        </is>
      </c>
      <c r="D12" s="28" t="inlineStr">
        <is>
          <t>The real, documented GDPR-related barrier this domain identified is booking-metadata non-sharing between agencies, not organisations refusing interpreter-relayed calls outright — this asks whether it has moved.</t>
        </is>
      </c>
      <c r="E12" s="28" t="inlineStr">
        <is>
          <t>Second wave</t>
        </is>
      </c>
    </row>
    <row r="13" ht="57.45" customHeight="1" s="20">
      <c r="A13" s="27" t="n">
        <v>9</v>
      </c>
      <c r="B13" s="27" t="inlineStr">
        <is>
          <t>Information Commissioner's Office (ICO)</t>
        </is>
      </c>
      <c r="C13" s="27" t="inlineStr">
        <is>
          <t>FOI/guidance request — is a 'requires a BSL interpreter' flag special-category data under Article 9?</t>
        </is>
      </c>
      <c r="D13" s="27" t="inlineStr">
        <is>
          <t>Closes an open legal question this domain file currently cannot resolve from published guidance alone — the ICO's own 2018 position sidesteps the consent framing entirely but does not address this narrower classification question.</t>
        </is>
      </c>
      <c r="E13" s="27" t="inlineStr">
        <is>
          <t>Second wave</t>
        </is>
      </c>
    </row>
    <row r="14" ht="46.25" customHeight="1" s="20">
      <c r="A14" s="28" t="n">
        <v>10</v>
      </c>
      <c r="B14" s="28" t="inlineStr">
        <is>
          <t>Financial Ombudsman Service (FOS)</t>
        </is>
      </c>
      <c r="C14" s="28" t="inlineStr">
        <is>
          <t>Enquiry — unpublished complaint data on refusal of interpreter/VRS-relayed calls</t>
        </is>
      </c>
      <c r="D14" s="28" t="inlineStr">
        <is>
          <t>The domain's longest-standing open question (third-party call refusal) is a confirmed absence in published records, but FOS may hold unpublished thematic data this search could not reach.</t>
        </is>
      </c>
      <c r="E14" s="28" t="inlineStr">
        <is>
          <t>Second wave</t>
        </is>
      </c>
    </row>
    <row r="15" ht="57.45" customHeight="1" s="20">
      <c r="A15" s="27" t="n">
        <v>11</v>
      </c>
      <c r="B15" s="27" t="inlineStr">
        <is>
          <t>Equality and Human Rights Commission (EHRC)</t>
        </is>
      </c>
      <c r="C15" s="27" t="inlineStr">
        <is>
          <t>FOI — has the 2014 'no third-party calls' indirect-discrimination guidance been applied to a BSL/VRS case?</t>
        </is>
      </c>
      <c r="D15" s="27" t="inlineStr">
        <is>
          <t>The guidance itself is confirmed and correctly cited; this asks whether it has ever actually been applied to the specific BSL/VRS scenario this domain is tracking, or only to the generic support-worker example given in the guidance.</t>
        </is>
      </c>
      <c r="E15" s="27" t="inlineStr">
        <is>
          <t>Second wave</t>
        </is>
      </c>
    </row>
    <row r="16" ht="46.25" customHeight="1" s="20">
      <c r="A16" s="28" t="n">
        <v>12</v>
      </c>
      <c r="B16" s="28" t="inlineStr">
        <is>
          <t>Department for Culture, Media and Sport (DCMS)</t>
        </is>
      </c>
      <c r="C16" s="28" t="inlineStr">
        <is>
          <t>FOI — has extending General Condition C5 to everyday VRS been discussed with Ofcom since Locked Out (2025)?</t>
        </is>
      </c>
      <c r="D16" s="28" t="inlineStr">
        <is>
          <t>Asks the sponsoring department the same question put to Ofcom directly (target #2) — whether either body sees this as a GC-modification (fast) route or a primary-legislation (slow) one.</t>
        </is>
      </c>
      <c r="E16" s="28" t="inlineStr">
        <is>
          <t>First wave</t>
        </is>
      </c>
    </row>
    <row r="17" ht="57.45" customHeight="1" s="20">
      <c r="A17" s="27" t="n">
        <v>13</v>
      </c>
      <c r="B17" s="27" t="inlineStr">
        <is>
          <t>Scottish Government / Sign Solutions</t>
        </is>
      </c>
      <c r="C17" s="27" t="inlineStr">
        <is>
          <t>FOI — current Contact Scotland BSL KPI report: call volumes and international/work-call exclusion wording</t>
        </is>
      </c>
      <c r="D17" s="27" t="inlineStr">
        <is>
          <t>Combines two related open items (call-volume confirmation, exclusion wording) plus the one remaining operator-history date gap (target #22 in the original list) into a single request to the body most likely to hold all three.</t>
        </is>
      </c>
      <c r="E17" s="27" t="inlineStr">
        <is>
          <t>First wave</t>
        </is>
      </c>
    </row>
    <row r="18" ht="46.25" customHeight="1" s="20">
      <c r="A18" s="28" t="n">
        <v>14</v>
      </c>
      <c r="B18" s="28" t="inlineStr">
        <is>
          <t>NHS England / a sample of NHS trusts</t>
        </is>
      </c>
      <c r="C18" s="28" t="inlineStr">
        <is>
          <t>FOI — is any guidance planned requiring finance systems to record interpreting spend by delivery method?</t>
        </is>
      </c>
      <c r="D18" s="28" t="inlineStr">
        <is>
          <t>Without this, no VRS-vs-face-to-face cost comparison can ever be built from routine data — asks whether NHS England has identified and is addressing this structural gap.</t>
        </is>
      </c>
      <c r="E18" s="28" t="inlineStr">
        <is>
          <t>Second wave</t>
        </is>
      </c>
    </row>
    <row r="19" ht="57.45" customHeight="1" s="20">
      <c r="A19" s="27" t="n">
        <v>16</v>
      </c>
      <c r="B19" s="27" t="inlineStr">
        <is>
          <t>BSL Advisory Board / Department of Health and Social Care (DHSC)</t>
        </is>
      </c>
      <c r="C19" s="27" t="inlineStr">
        <is>
          <t>FOI — methodology note for the £80-100 million/year cost-of-exclusion estimate in Locked Out</t>
        </is>
      </c>
      <c r="D19" s="27" t="inlineStr">
        <is>
          <t>Tests whether the widely-cited £80-100m figure has any government methodology behind it, or remains purely a repeated charity advocacy estimate, and whether it has ever been compared with the separate Ofcom provision-cost estimate internally.</t>
        </is>
      </c>
      <c r="E19" s="27" t="inlineStr">
        <is>
          <t>First wave</t>
        </is>
      </c>
    </row>
    <row r="20" ht="68.65000000000001" customHeight="1" s="20">
      <c r="A20" s="28" t="n">
        <v>17</v>
      </c>
      <c r="B20" s="28" t="inlineStr">
        <is>
          <t>DWP / Access to Work</t>
        </is>
      </c>
      <c r="C20" s="28" t="inlineStr">
        <is>
          <t>FOI — current published (or unpublished) Support Worker / BSL interpreter hourly rate bands and VRI bundle pricing</t>
        </is>
      </c>
      <c r="D20" s="28" t="inlineStr">
        <is>
          <t>This domain's single most consequential open pricing question — a real, DWP-sourced but *different* rate figure was found this session (Section 37), directly contradicting the more widely circulated figures; only DWP itself can settle which, if either, is the current position.</t>
        </is>
      </c>
      <c r="E20" s="28" t="inlineStr">
        <is>
          <t>First wave</t>
        </is>
      </c>
    </row>
    <row r="21" ht="57.45" customHeight="1" s="20">
      <c r="A21" s="27" t="n">
        <v>18</v>
      </c>
      <c r="B21" s="27" t="inlineStr">
        <is>
          <t>NHS Wales / NHS 111 Wales</t>
        </is>
      </c>
      <c r="C21" s="27" t="inlineStr">
        <is>
          <t>FOI — does any dedicated BSL video relay service exist for NHS 111 in Wales?</t>
        </is>
      </c>
      <c r="D21" s="27" t="inlineStr">
        <is>
          <t>A genuine new gap surfaced by this domain's research (Section 37/prior passes) — this may mean Wales currently has no dedicated 111 BSL video relay service at all, which is itself a notable and previously undocumented finding if confirmed.</t>
        </is>
      </c>
      <c r="E21" s="27" t="inlineStr">
        <is>
          <t>First wave</t>
        </is>
      </c>
    </row>
    <row r="22" ht="57.45" customHeight="1" s="20">
      <c r="A22" s="28" t="n">
        <v>19</v>
      </c>
      <c r="B22" s="28" t="inlineStr">
        <is>
          <t>DWP / Access to Work</t>
        </is>
      </c>
      <c r="C22" s="28" t="inlineStr">
        <is>
          <t>FOI — has AtW considered funding employer-side IT/network changes needed to run a VRS app at work?</t>
        </is>
      </c>
      <c r="D22" s="28" t="inlineStr">
        <is>
          <t>Tests whether a known, provider-documented technical access barrier (workplace firewalls) has any funding route at all, or falls into a genuine policy gap between AtW's interpreting-minutes funding and employers' own IT policies.</t>
        </is>
      </c>
      <c r="E22" s="28" t="inlineStr">
        <is>
          <t>Second wave</t>
        </is>
      </c>
    </row>
    <row r="23" ht="79.84999999999999" customHeight="1" s="20">
      <c r="A23" s="27" t="n">
        <v>20</v>
      </c>
      <c r="B23" s="27" t="inlineStr">
        <is>
          <t>Sheffield City Council</t>
        </is>
      </c>
      <c r="C23" s="27" t="inlineStr">
        <is>
          <t>FOI — the Signlive/Convo 'Online BSL Services' contract: value and procurement route</t>
        </is>
      </c>
      <c r="D23" s="27" t="inlineStr">
        <is>
          <t>The one remaining unconfirmed figure in the Convo/SignLive research thread (Section 36-37) — the partnership itself is independently confirmed via the council's own website, but the contract value has no public procurement-notice trail anywhere, and this domain's research concluded an FOI request is the only remaining way to close it.</t>
        </is>
      </c>
      <c r="E23" s="27" t="inlineStr">
        <is>
          <t>First wave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1:C27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9" min="1" max="1"/>
    <col width="24" customWidth="1" style="19" min="2" max="2"/>
    <col width="100" customWidth="1" style="19" min="3" max="3"/>
  </cols>
  <sheetData>
    <row r="1" ht="15" customHeight="1" s="20">
      <c r="B1" s="23" t="inlineStr">
        <is>
          <t>Letters — copy from each block's 'COPY FROM HERE' row downward</t>
        </is>
      </c>
    </row>
    <row r="2" ht="79.84999999999999" customHeight="1" s="20">
      <c r="B2" s="22" t="inlineStr">
        <is>
          <t>Yellow cells are the only fields you edit: your name, your email, today's date. Everything else is pre-written from the domain research and should be sent as-is so answers stay comparable.</t>
        </is>
      </c>
    </row>
    <row r="3"/>
    <row r="4" ht="15" customHeight="1" s="20">
      <c r="B4" s="23" t="inlineStr">
        <is>
          <t>Target #1  ·  DWP / Access to Work</t>
        </is>
      </c>
    </row>
    <row r="5" ht="15" customHeight="1" s="20">
      <c r="B5" s="24" t="inlineStr">
        <is>
          <t>Your full name (required)</t>
        </is>
      </c>
      <c r="C5" s="29" t="inlineStr">
        <is>
          <t>Graeme Gordon</t>
        </is>
      </c>
    </row>
    <row r="6" ht="15" customHeight="1" s="20">
      <c r="B6" s="24" t="inlineStr">
        <is>
          <t>Your email</t>
        </is>
      </c>
      <c r="C6" s="29" t="inlineStr">
        <is>
          <t>graemebgordon@me.com</t>
        </is>
      </c>
    </row>
    <row r="7" ht="15" customHeight="1" s="20">
      <c r="B7" s="24" t="inlineStr">
        <is>
          <t>Today's date</t>
        </is>
      </c>
      <c r="C7" s="30" t="n">
        <v>46272</v>
      </c>
    </row>
    <row r="8" ht="15" customHeight="1" s="20">
      <c r="B8" s="24" t="inlineStr">
        <is>
          <t>Send this letter to</t>
        </is>
      </c>
      <c r="C8" s="25" t="inlineStr">
        <is>
          <t>Department for Work and Pensions (Access to Work)</t>
        </is>
      </c>
    </row>
    <row r="9" ht="15" customHeight="1" s="20">
      <c r="B9" s="24" t="inlineStr">
        <is>
          <t>FOI route</t>
        </is>
      </c>
      <c r="C9" s="25" t="inlineStr">
        <is>
          <t>DWP FOI team (foi-request@dwp.gov.uk) / WhatDoTheyKnow</t>
        </is>
      </c>
    </row>
    <row r="10" ht="15" customHeight="1" s="20">
      <c r="B10" s="24" t="inlineStr">
        <is>
          <t>Subject line (copy this)</t>
        </is>
      </c>
      <c r="C10" s="25" t="inlineStr">
        <is>
          <t>FOI — isolating VRS-specific spend within Access to Work's Support Worker budget</t>
        </is>
      </c>
    </row>
    <row r="11"/>
    <row r="12" ht="15" customHeight="1" s="20">
      <c r="B12" s="31" t="inlineStr">
        <is>
          <t>COPY FROM HERE</t>
        </is>
      </c>
      <c r="C12" s="32" t="inlineStr">
        <is>
          <t>Full letter — select the cell below and copy</t>
        </is>
      </c>
    </row>
    <row r="13" ht="300" customHeight="1" s="20">
      <c r="C13" s="33" t="inlineStr">
        <is>
          <t>Dear Freedom of Information team,
I am making this request under the Freedom of Information Act 2000.
Re: FOI — isolating VRS-specific spend within Access to Work's Support Worker budget
Access to Work's published statistics show total Support Worker element spend, and within it a figure for BSL interpreting customers and total Deaf/hard-of-hearing element spend (£90.3 million in FY2024/25). This request asks for the narrower breakdown within that BSL interpreting spend.
1. Of the total sum paid for BSL interpreting support in FY2024/25 (and, if held, FY2023/24), how much was paid for video relay/video remote interpreting (VRS/VRI) specifically, as distinct from face-to-face/in-person BSL interpreting?
2. If this breakdown by delivery method is not recorded in a form that can be extracted, please confirm this directly and state what the finest level of disaggregation actually held is (e.g. by claimant, by supplier, by element only).
3. Please provide the same breakdown, if held, for Communication Support Worker payments separately from BSL interpreter payments.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14"/>
    <row r="15" ht="43.25" customHeight="1" s="20">
      <c r="B15" s="34" t="inlineStr">
        <is>
          <t>After you send: add a row on Request log. Status = Sent. Date sent = today. The sheet calculates the due date.</t>
        </is>
      </c>
    </row>
    <row r="16"/>
    <row r="17"/>
    <row r="18" ht="15" customHeight="1" s="20">
      <c r="B18" s="23" t="inlineStr">
        <is>
          <t>Target #2  ·  Ofcom</t>
        </is>
      </c>
    </row>
    <row r="19" ht="15" customHeight="1" s="20">
      <c r="B19" s="24" t="inlineStr">
        <is>
          <t>Your full name (required)</t>
        </is>
      </c>
      <c r="C19" s="29" t="inlineStr">
        <is>
          <t>Graeme Gordon</t>
        </is>
      </c>
    </row>
    <row r="20" ht="15" customHeight="1" s="20">
      <c r="B20" s="24" t="inlineStr">
        <is>
          <t>Your email</t>
        </is>
      </c>
      <c r="C20" s="29" t="inlineStr">
        <is>
          <t>graemebgordon@me.com</t>
        </is>
      </c>
    </row>
    <row r="21" ht="15" customHeight="1" s="20">
      <c r="B21" s="24" t="inlineStr">
        <is>
          <t>Today's date</t>
        </is>
      </c>
      <c r="C21" s="30" t="n">
        <v>46272</v>
      </c>
    </row>
    <row r="22" ht="15" customHeight="1" s="20">
      <c r="B22" s="24" t="inlineStr">
        <is>
          <t>Send this letter to</t>
        </is>
      </c>
      <c r="C22" s="25" t="inlineStr">
        <is>
          <t>Ofcom</t>
        </is>
      </c>
    </row>
    <row r="23" ht="15" customHeight="1" s="20">
      <c r="B23" s="24" t="inlineStr">
        <is>
          <t>FOI route</t>
        </is>
      </c>
      <c r="C23" s="25" t="inlineStr">
        <is>
          <t>Ofcom FOI team (foi@ofcom.org.uk) / WhatDoTheyKnow</t>
        </is>
      </c>
    </row>
    <row r="24" ht="15" customHeight="1" s="20">
      <c r="B24" s="24" t="inlineStr">
        <is>
          <t>Subject line (copy this)</t>
        </is>
      </c>
      <c r="C24" s="25" t="inlineStr">
        <is>
          <t>FOI — reassessment of universal (any-number) VRS cost estimates and General Condition C5 scope</t>
        </is>
      </c>
    </row>
    <row r="25"/>
    <row r="26" ht="15" customHeight="1" s="20">
      <c r="B26" s="31" t="inlineStr">
        <is>
          <t>COPY FROM HERE</t>
        </is>
      </c>
      <c r="C26" s="32" t="inlineStr">
        <is>
          <t>Full letter — select the cell below and copy</t>
        </is>
      </c>
    </row>
    <row r="27" ht="300" customHeight="1" s="20">
      <c r="C27" s="33" t="inlineStr">
        <is>
          <t>Dear Freedom of Information team,
I am making this request under the Freedom of Information Act 2000.
Re: FOI — reassessment of universal (any-number) VRS cost estimates and General Condition C5 scope
Ofcom's 2011 Review of Relay Services consultation estimated the cost of extending video relay service (VRS) to a universal, any-number service at £41.6m-£113.4m per year, and concluded this was 'not appropriate at this time'. Ofcom has since used the same statutory power (Communications Act 2003, s.51(2)(c)) to mandate emergency-only VRS via General Condition C5 (2021).
1. Has Ofcom conducted, commissioned, or received any internal analysis since 2011 revisiting the cost of extending VRS to a universal any-number service, in light of the BSL Advisory Board's 2025 recommendation (in Locked Out) for a national 24/7 VRS?
2. Has Ofcom assessed or discussed extending General Condition C5 from emergency-only to everyday, any-number VRS as a condition modification under sections 45/47/51 of the Communications Act 2003 (i.e. as the same kind of regulatory step as the 2021 emergency-VRS GC, rather than requiring new primary legislation)? Please provide any correspondence, briefing, or minute recording such a discussion.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28"/>
    <row r="29" ht="43.25" customHeight="1" s="20">
      <c r="B29" s="34" t="inlineStr">
        <is>
          <t>After you send: add a row on Request log. Status = Sent. Date sent = today. The sheet calculates the due date.</t>
        </is>
      </c>
    </row>
    <row r="30"/>
    <row r="31"/>
    <row r="32" ht="15" customHeight="1" s="20">
      <c r="B32" s="23" t="inlineStr">
        <is>
          <t>Target #3  ·  NHS England</t>
        </is>
      </c>
    </row>
    <row r="33" ht="15" customHeight="1" s="20">
      <c r="B33" s="24" t="inlineStr">
        <is>
          <t>Your full name (required)</t>
        </is>
      </c>
      <c r="C33" s="29" t="inlineStr">
        <is>
          <t>Graeme Gordon</t>
        </is>
      </c>
    </row>
    <row r="34" ht="15" customHeight="1" s="20">
      <c r="B34" s="24" t="inlineStr">
        <is>
          <t>Your email</t>
        </is>
      </c>
      <c r="C34" s="29" t="inlineStr">
        <is>
          <t>graemebgordon@me.com</t>
        </is>
      </c>
    </row>
    <row r="35" ht="15" customHeight="1" s="20">
      <c r="B35" s="24" t="inlineStr">
        <is>
          <t>Today's date</t>
        </is>
      </c>
      <c r="C35" s="30" t="n">
        <v>46272</v>
      </c>
    </row>
    <row r="36" ht="15" customHeight="1" s="20">
      <c r="B36" s="24" t="inlineStr">
        <is>
          <t>Send this letter to</t>
        </is>
      </c>
      <c r="C36" s="25" t="inlineStr">
        <is>
          <t>NHS England</t>
        </is>
      </c>
    </row>
    <row r="37" ht="15" customHeight="1" s="20">
      <c r="B37" s="24" t="inlineStr">
        <is>
          <t>FOI route</t>
        </is>
      </c>
      <c r="C37" s="25" t="inlineStr">
        <is>
          <t>NHS England FOI team (england.foi@nhs.net) / WhatDoTheyKnow</t>
        </is>
      </c>
    </row>
    <row r="38" ht="15" customHeight="1" s="20">
      <c r="B38" s="24" t="inlineStr">
        <is>
          <t>Subject line (copy this)</t>
        </is>
      </c>
      <c r="C38" s="25" t="inlineStr">
        <is>
          <t>FOI — decision record for the withdrawal of BSL Health Access funding, 31 March 2021</t>
        </is>
      </c>
    </row>
    <row r="39"/>
    <row r="40" ht="15" customHeight="1" s="20">
      <c r="B40" s="31" t="inlineStr">
        <is>
          <t>COPY FROM HERE</t>
        </is>
      </c>
      <c r="C40" s="32" t="inlineStr">
        <is>
          <t>Full letter — select the cell below and copy</t>
        </is>
      </c>
    </row>
    <row r="41" ht="300" customHeight="1" s="20">
      <c r="C41" s="33" t="inlineStr">
        <is>
          <t>Dear Freedom of Information team,
I am making this request under the Freedom of Information Act 2000.
Re: FOI — decision record for the withdrawal of BSL Health Access funding, 31 March 2021
SignHealth's BSL Health Access service — described as a genuinely universal (non-per-organisation) video relay service for NHS-related calls, with 25,000+ conversations recorded — lost its funding and closed on 31 March 2021.
1. Please provide any decision record, business case review, or internal correspondence held by NHS England regarding the decision not to continue funding BSL Health Access beyond 31 March 2021.
2. Please state which NHS England team or budget line held commissioning responsibility for this service prior to its closure.
3. Please confirm whether any equivalent universal (non-per-organisation) BSL video relay service for NHS-related calls has been commissioned, or considered for commissioning, since 2021.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42"/>
    <row r="43" ht="43.25" customHeight="1" s="20">
      <c r="B43" s="34" t="inlineStr">
        <is>
          <t>After you send: add a row on Request log. Status = Sent. Date sent = today. The sheet calculates the due date.</t>
        </is>
      </c>
    </row>
    <row r="44"/>
    <row r="45"/>
    <row r="46" ht="15" customHeight="1" s="20">
      <c r="B46" s="23" t="inlineStr">
        <is>
          <t>Target #4  ·  Crown Commercial Service</t>
        </is>
      </c>
    </row>
    <row r="47" ht="15" customHeight="1" s="20">
      <c r="B47" s="24" t="inlineStr">
        <is>
          <t>Your full name (required)</t>
        </is>
      </c>
      <c r="C47" s="29" t="inlineStr">
        <is>
          <t>Graeme Gordon</t>
        </is>
      </c>
    </row>
    <row r="48" ht="15" customHeight="1" s="20">
      <c r="B48" s="24" t="inlineStr">
        <is>
          <t>Your email</t>
        </is>
      </c>
      <c r="C48" s="29" t="inlineStr">
        <is>
          <t>graemebgordon@me.com</t>
        </is>
      </c>
    </row>
    <row r="49" ht="15" customHeight="1" s="20">
      <c r="B49" s="24" t="inlineStr">
        <is>
          <t>Today's date</t>
        </is>
      </c>
      <c r="C49" s="30" t="n">
        <v>46272</v>
      </c>
    </row>
    <row r="50" ht="15" customHeight="1" s="20">
      <c r="B50" s="24" t="inlineStr">
        <is>
          <t>Send this letter to</t>
        </is>
      </c>
      <c r="C50" s="25" t="inlineStr">
        <is>
          <t>Crown Commercial Service</t>
        </is>
      </c>
    </row>
    <row r="51" ht="15" customHeight="1" s="20">
      <c r="B51" s="24" t="inlineStr">
        <is>
          <t>FOI route</t>
        </is>
      </c>
      <c r="C51" s="25" t="inlineStr">
        <is>
          <t>CCS FOI team / WhatDoTheyKnow</t>
        </is>
      </c>
    </row>
    <row r="52" ht="15" customHeight="1" s="20">
      <c r="B52" s="24" t="inlineStr">
        <is>
          <t>Subject line (copy this)</t>
        </is>
      </c>
      <c r="C52" s="25" t="inlineStr">
        <is>
          <t>FOI — RM6302 Lot 4 spend broken out by delivery method and by BSL vs other sign languages</t>
        </is>
      </c>
    </row>
    <row r="53"/>
    <row r="54" ht="15" customHeight="1" s="20">
      <c r="B54" s="31" t="inlineStr">
        <is>
          <t>COPY FROM HERE</t>
        </is>
      </c>
      <c r="C54" s="32" t="inlineStr">
        <is>
          <t>Full letter — select the cell below and copy</t>
        </is>
      </c>
    </row>
    <row r="55" ht="300" customHeight="1" s="20">
      <c r="C55" s="33" t="inlineStr">
        <is>
          <t>Dear Freedom of Information team,
I am making this request under the Freedom of Information Act 2000.
Re: FOI — RM6302 Lot 4 spend broken out by delivery method and by BSL vs other sign languages
RM6302 Lot 4 (Visual Interpreting Services) is the Crown Commercial Service framework covering UK video interpreting procurement.
1. What is the total public-sector spend to date under RM6302 Lot 4, broken out by video relay/remote interpreting (VRS/VRI) versus face-to-face interpreting booked through the same framework, if this distinction is recorded?
2. Please provide the same total broken out by British Sign Language versus other sign languages, if held.
3. Are Lot 4 suppliers required to submit delivery-mode-disaggregated pricing or spend data as part of their framework reporting obligations? If not, has this been considered for the next framework refresh?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56"/>
    <row r="57" ht="43.25" customHeight="1" s="20">
      <c r="B57" s="34" t="inlineStr">
        <is>
          <t>After you send: add a row on Request log. Status = Sent. Date sent = today. The sheet calculates the due date.</t>
        </is>
      </c>
    </row>
    <row r="58"/>
    <row r="59"/>
    <row r="60" ht="15" customHeight="1" s="20">
      <c r="B60" s="23" t="inlineStr">
        <is>
          <t>Target #5  ·  DVLA</t>
        </is>
      </c>
    </row>
    <row r="61" ht="15" customHeight="1" s="20">
      <c r="B61" s="24" t="inlineStr">
        <is>
          <t>Your full name (required)</t>
        </is>
      </c>
      <c r="C61" s="29" t="inlineStr">
        <is>
          <t>Graeme Gordon</t>
        </is>
      </c>
    </row>
    <row r="62" ht="15" customHeight="1" s="20">
      <c r="B62" s="24" t="inlineStr">
        <is>
          <t>Your email</t>
        </is>
      </c>
      <c r="C62" s="29" t="inlineStr">
        <is>
          <t>graemebgordon@me.com</t>
        </is>
      </c>
    </row>
    <row r="63" ht="15" customHeight="1" s="20">
      <c r="B63" s="24" t="inlineStr">
        <is>
          <t>Today's date</t>
        </is>
      </c>
      <c r="C63" s="30" t="n">
        <v>46272</v>
      </c>
    </row>
    <row r="64" ht="15" customHeight="1" s="20">
      <c r="B64" s="24" t="inlineStr">
        <is>
          <t>Send this letter to</t>
        </is>
      </c>
      <c r="C64" s="25" t="inlineStr">
        <is>
          <t>Driver and Vehicle Licensing Agency (DVLA)</t>
        </is>
      </c>
    </row>
    <row r="65" ht="15" customHeight="1" s="20">
      <c r="B65" s="24" t="inlineStr">
        <is>
          <t>FOI route</t>
        </is>
      </c>
      <c r="C65" s="25" t="inlineStr">
        <is>
          <t>DVLA FOI team (foi@dvla.gov.uk) / WhatDoTheyKnow</t>
        </is>
      </c>
    </row>
    <row r="66" ht="15" customHeight="1" s="20">
      <c r="B66" s="24" t="inlineStr">
        <is>
          <t>Subject line (copy this)</t>
        </is>
      </c>
      <c r="C66" s="25" t="inlineStr">
        <is>
          <t>FOI — status of the £30,000 BSL video relay service contract since April 2025</t>
        </is>
      </c>
    </row>
    <row r="67"/>
    <row r="68" ht="15" customHeight="1" s="20">
      <c r="B68" s="31" t="inlineStr">
        <is>
          <t>COPY FROM HERE</t>
        </is>
      </c>
      <c r="C68" s="32" t="inlineStr">
        <is>
          <t>Full letter — select the cell below and copy</t>
        </is>
      </c>
    </row>
    <row r="69" ht="300" customHeight="1" s="20">
      <c r="C69" s="33" t="inlineStr">
        <is>
          <t>Dear Freedom of Information team,
I am making this request under the Freedom of Information Act 2000.
Re: FOI — status of the £30,000 BSL video relay service contract since April 2025
A Contracts Finder notice records a DVLA contract for 'Provision of British Sign Language Video Relay Service' awarded to D A Languages, value £30,000, dated 24 April 2024, apparently covering a 12-month period.
1. Has this contract been renewed, retendered, or had its value changed since it was due to expire around April 2025?
2. If renewed or retendered, please confirm the current supplier and current contract value.
3. Please provide call-volume or usage figures for this service, if recorded, for the most recent 12-month period available.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70"/>
    <row r="71" ht="43.25" customHeight="1" s="20">
      <c r="B71" s="34" t="inlineStr">
        <is>
          <t>After you send: add a row on Request log. Status = Sent. Date sent = today. The sheet calculates the due date.</t>
        </is>
      </c>
    </row>
    <row r="72"/>
    <row r="73"/>
    <row r="74" ht="15" customHeight="1" s="20">
      <c r="B74" s="23" t="inlineStr">
        <is>
          <t>Target #6  ·  ICO</t>
        </is>
      </c>
    </row>
    <row r="75" ht="15" customHeight="1" s="20">
      <c r="B75" s="24" t="inlineStr">
        <is>
          <t>Your full name (required)</t>
        </is>
      </c>
      <c r="C75" s="29" t="inlineStr">
        <is>
          <t>Graeme Gordon</t>
        </is>
      </c>
    </row>
    <row r="76" ht="15" customHeight="1" s="20">
      <c r="B76" s="24" t="inlineStr">
        <is>
          <t>Your email</t>
        </is>
      </c>
      <c r="C76" s="29" t="inlineStr">
        <is>
          <t>graemebgordon@me.com</t>
        </is>
      </c>
    </row>
    <row r="77" ht="15" customHeight="1" s="20">
      <c r="B77" s="24" t="inlineStr">
        <is>
          <t>Today's date</t>
        </is>
      </c>
      <c r="C77" s="30" t="n">
        <v>46272</v>
      </c>
    </row>
    <row r="78" ht="15" customHeight="1" s="20">
      <c r="B78" s="24" t="inlineStr">
        <is>
          <t>Send this letter to</t>
        </is>
      </c>
      <c r="C78" s="25" t="inlineStr">
        <is>
          <t>Information Commissioner's Office (ICO)</t>
        </is>
      </c>
    </row>
    <row r="79" ht="15" customHeight="1" s="20">
      <c r="B79" s="24" t="inlineStr">
        <is>
          <t>FOI route</t>
        </is>
      </c>
      <c r="C79" s="25" t="inlineStr">
        <is>
          <t>ICO (via its FOI/data-protection-complaints route) / WhatDoTheyKnow</t>
        </is>
      </c>
    </row>
    <row r="80" ht="15" customHeight="1" s="20">
      <c r="B80" s="24" t="inlineStr">
        <is>
          <t>Subject line (copy this)</t>
        </is>
      </c>
      <c r="C80" s="25" t="inlineStr">
        <is>
          <t>FOI — copy of the ICO's 2 October 2018 letter to the UK Council on Deafness on GDPR and interpreter/relay calls</t>
        </is>
      </c>
    </row>
    <row r="81"/>
    <row r="82" ht="15" customHeight="1" s="20">
      <c r="B82" s="31" t="inlineStr">
        <is>
          <t>COPY FROM HERE</t>
        </is>
      </c>
      <c r="C82" s="32" t="inlineStr">
        <is>
          <t>Full letter — select the cell below and copy</t>
        </is>
      </c>
    </row>
    <row r="83" ht="300" customHeight="1" s="20">
      <c r="C83" s="33" t="inlineStr">
        <is>
          <t>Dear Freedom of Information team,
I am making this request under the Freedom of Information Act 2000.
Re: FOI — copy of the ICO's 2 October 2018 letter to the UK Council on Deafness on GDPR and interpreter/relay calls
A WhatDoTheyKnow FOI request ("Advice given about interpreter and relay compatibility with GDPR", filed 8 November 2018) established that the ICO wrote to the UK Council on Deafness (or a body writing on its behalf) on 2 October 2018, clarifying the ICO's position that GDPR does not prevent individuals from contacting organisations using a sign language interpreter or relay service. The ICO's FOI response of 6 December 2018 quotes a short fragment of this letter but the full text has not been independently opened as a standalone document.
1. Please provide a full copy of the ICO's letter dated 2 October 2018 to the UK Council on Deafness (or the body that wrote to the ICO on 14 September 2018 on this subject), in a format that can be quoted directly.
2. Please confirm whether this letter, or an updated version of the same guidance, has since been published in any ICO guidance document, and if so, where.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84"/>
    <row r="85" ht="43.25" customHeight="1" s="20">
      <c r="B85" s="34" t="inlineStr">
        <is>
          <t>After you send: add a row on Request log. Status = Sent. Date sent = today. The sheet calculates the due date.</t>
        </is>
      </c>
    </row>
    <row r="86"/>
    <row r="87"/>
    <row r="88" ht="15" customHeight="1" s="20">
      <c r="B88" s="23" t="inlineStr">
        <is>
          <t>Target #7  ·  NHS England (IG team)</t>
        </is>
      </c>
    </row>
    <row r="89" ht="15" customHeight="1" s="20">
      <c r="B89" s="24" t="inlineStr">
        <is>
          <t>Your full name (required)</t>
        </is>
      </c>
      <c r="C89" s="29" t="inlineStr">
        <is>
          <t>Graeme Gordon</t>
        </is>
      </c>
    </row>
    <row r="90" ht="15" customHeight="1" s="20">
      <c r="B90" s="24" t="inlineStr">
        <is>
          <t>Your email</t>
        </is>
      </c>
      <c r="C90" s="29" t="inlineStr">
        <is>
          <t>graemebgordon@me.com</t>
        </is>
      </c>
    </row>
    <row r="91" ht="15" customHeight="1" s="20">
      <c r="B91" s="24" t="inlineStr">
        <is>
          <t>Today's date</t>
        </is>
      </c>
      <c r="C91" s="30" t="n">
        <v>46272</v>
      </c>
    </row>
    <row r="92" ht="15" customHeight="1" s="20">
      <c r="B92" s="24" t="inlineStr">
        <is>
          <t>Send this letter to</t>
        </is>
      </c>
      <c r="C92" s="25" t="inlineStr">
        <is>
          <t>NHS England (national data / information governance team)</t>
        </is>
      </c>
    </row>
    <row r="93" ht="15" customHeight="1" s="20">
      <c r="B93" s="24" t="inlineStr">
        <is>
          <t>FOI route</t>
        </is>
      </c>
      <c r="C93" s="25" t="inlineStr">
        <is>
          <t>NHS England FOI team (england.foi@nhs.net) / WhatDoTheyKnow</t>
        </is>
      </c>
    </row>
    <row r="94" ht="15" customHeight="1" s="20">
      <c r="B94" s="24" t="inlineStr">
        <is>
          <t>Subject line (copy this)</t>
        </is>
      </c>
      <c r="C94" s="25" t="inlineStr">
        <is>
          <t>FOI — reconciling AIS 'with consent' language against the RADF's 'implied consent' language</t>
        </is>
      </c>
    </row>
    <row r="95"/>
    <row r="96" ht="15" customHeight="1" s="20">
      <c r="B96" s="31" t="inlineStr">
        <is>
          <t>COPY FROM HERE</t>
        </is>
      </c>
      <c r="C96" s="32" t="inlineStr">
        <is>
          <t>Full letter — select the cell below and copy</t>
        </is>
      </c>
    </row>
    <row r="97" ht="300" customHeight="1" s="20">
      <c r="C97" s="33" t="inlineStr">
        <is>
          <t>Dear Freedom of Information team,
I am making this request under the Freedom of Information Act 2000.
Re: FOI — reconciling AIS 'with consent' language against the RADF's 'implied consent' language
The Accessible Information Standard (AIS) implementation guidance describes recording a patient's communication needs 'with consent'. The Reasonable Adjustment Digital Flag (RADF) action checklist describes recording the same category of information on an implied-consent basis. This domain's research has not found any published reconciliation of these two standards.
1. Has NHS England formally reconciled the consent basis used by the Accessible Information Standard with that used by the Reasonable Adjustment Digital Flag? Please provide any guidance, position statement, or internal correspondence addressing this specifically.
2. If no formal reconciliation exists, which standard does NHS England consider to govern in practice where the two conflict — for example, where a patient has not given explicit consent under AIS but a RADF flag has already been set?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98"/>
    <row r="99" ht="43.25" customHeight="1" s="20">
      <c r="B99" s="34" t="inlineStr">
        <is>
          <t>After you send: add a row on Request log. Status = Sent. Date sent = today. The sheet calculates the due date.</t>
        </is>
      </c>
    </row>
    <row r="100"/>
    <row r="101"/>
    <row r="102" ht="15" customHeight="1" s="20">
      <c r="B102" s="23" t="inlineStr">
        <is>
          <t>Target #8  ·  NHS England (booking-data sharing)</t>
        </is>
      </c>
    </row>
    <row r="103" ht="15" customHeight="1" s="20">
      <c r="B103" s="24" t="inlineStr">
        <is>
          <t>Your full name (required)</t>
        </is>
      </c>
      <c r="C103" s="29" t="inlineStr">
        <is>
          <t>Graeme Gordon</t>
        </is>
      </c>
    </row>
    <row r="104" ht="15" customHeight="1" s="20">
      <c r="B104" s="24" t="inlineStr">
        <is>
          <t>Your email</t>
        </is>
      </c>
      <c r="C104" s="29" t="inlineStr">
        <is>
          <t>graemebgordon@me.com</t>
        </is>
      </c>
    </row>
    <row r="105" ht="15" customHeight="1" s="20">
      <c r="B105" s="24" t="inlineStr">
        <is>
          <t>Today's date</t>
        </is>
      </c>
      <c r="C105" s="30" t="n">
        <v>46272</v>
      </c>
    </row>
    <row r="106" ht="15" customHeight="1" s="20">
      <c r="B106" s="24" t="inlineStr">
        <is>
          <t>Send this letter to</t>
        </is>
      </c>
      <c r="C106" s="25" t="inlineStr">
        <is>
          <t>NHS England / a sample of NHS interpreting agencies</t>
        </is>
      </c>
    </row>
    <row r="107" ht="15" customHeight="1" s="20">
      <c r="B107" s="24" t="inlineStr">
        <is>
          <t>FOI route</t>
        </is>
      </c>
      <c r="C107" s="25" t="inlineStr">
        <is>
          <t>NHS England FOI team (england.foi@nhs.net) / WhatDoTheyKnow</t>
        </is>
      </c>
    </row>
    <row r="108" ht="15" customHeight="1" s="20">
      <c r="B108" s="24" t="inlineStr">
        <is>
          <t>Subject line (copy this)</t>
        </is>
      </c>
      <c r="C108" s="25" t="inlineStr">
        <is>
          <t>FOI — whether interpreter booking-data non-sharing (cited as a GDPR barrier) has been addressed since 2019</t>
        </is>
      </c>
    </row>
    <row r="109"/>
    <row r="110" ht="15" customHeight="1" s="20">
      <c r="B110" s="31" t="inlineStr">
        <is>
          <t>COPY FROM HERE</t>
        </is>
      </c>
      <c r="C110" s="32" t="inlineStr">
        <is>
          <t>Full letter — select the cell below and copy</t>
        </is>
      </c>
    </row>
    <row r="111" ht="300" customHeight="1" s="20">
      <c r="C111" s="33" t="inlineStr">
        <is>
          <t>Dear Freedom of Information team,
I am making this request under the Freedom of Information Act 2000.
Re: FOI — whether interpreter booking-data non-sharing (cited as a GDPR barrier) has been addressed since 2019
The BSL Advisory Board's Locked Out report and a 2019 NUBSLI complaint both describe interpreting agencies withholding a patient's name, sex/gender, or clinical setting from the interpreter being booked, citing GDPR, which can result in an unsuitable interpreter being booked (for example, a conflict of interest in a small, interconnected professional community).
1. Has NHS England issued, updated, or reviewed any guidance since 2019 on what booking information interpreting agencies should share with freelance BSL interpreters ahead of a booking?
2. Is NHS England aware of whether this practice (withholding name/setting information, citing GDPR) is still current among NHS-contracted interpreting suppliers, or whether it has changed since 2019?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112"/>
    <row r="113" ht="43.25" customHeight="1" s="20">
      <c r="B113" s="34" t="inlineStr">
        <is>
          <t>After you send: add a row on Request log. Status = Sent. Date sent = today. The sheet calculates the due date.</t>
        </is>
      </c>
    </row>
    <row r="114"/>
    <row r="115"/>
    <row r="116" ht="15" customHeight="1" s="20">
      <c r="B116" s="23" t="inlineStr">
        <is>
          <t>Target #9  ·  ICO (special-category data)</t>
        </is>
      </c>
    </row>
    <row r="117" ht="15" customHeight="1" s="20">
      <c r="B117" s="24" t="inlineStr">
        <is>
          <t>Your full name (required)</t>
        </is>
      </c>
      <c r="C117" s="29" t="inlineStr">
        <is>
          <t>Graeme Gordon</t>
        </is>
      </c>
    </row>
    <row r="118" ht="15" customHeight="1" s="20">
      <c r="B118" s="24" t="inlineStr">
        <is>
          <t>Your email</t>
        </is>
      </c>
      <c r="C118" s="29" t="inlineStr">
        <is>
          <t>graemebgordon@me.com</t>
        </is>
      </c>
    </row>
    <row r="119" ht="15" customHeight="1" s="20">
      <c r="B119" s="24" t="inlineStr">
        <is>
          <t>Today's date</t>
        </is>
      </c>
      <c r="C119" s="30" t="n">
        <v>46272</v>
      </c>
    </row>
    <row r="120" ht="15" customHeight="1" s="20">
      <c r="B120" s="24" t="inlineStr">
        <is>
          <t>Send this letter to</t>
        </is>
      </c>
      <c r="C120" s="25" t="inlineStr">
        <is>
          <t>Information Commissioner's Office (ICO)</t>
        </is>
      </c>
    </row>
    <row r="121" ht="15" customHeight="1" s="20">
      <c r="B121" s="24" t="inlineStr">
        <is>
          <t>FOI route</t>
        </is>
      </c>
      <c r="C121" s="25" t="inlineStr">
        <is>
          <t>ICO (via its FOI/data-protection-complaints route) / WhatDoTheyKnow</t>
        </is>
      </c>
    </row>
    <row r="122" ht="15" customHeight="1" s="20">
      <c r="B122" s="24" t="inlineStr">
        <is>
          <t>Subject line (copy this)</t>
        </is>
      </c>
      <c r="C122" s="25" t="inlineStr">
        <is>
          <t>FOI/guidance request — is a 'requires a BSL interpreter' flag special-category data under Article 9?</t>
        </is>
      </c>
    </row>
    <row r="123"/>
    <row r="124" ht="15" customHeight="1" s="20">
      <c r="B124" s="31" t="inlineStr">
        <is>
          <t>COPY FROM HERE</t>
        </is>
      </c>
      <c r="C124" s="32" t="inlineStr">
        <is>
          <t>Full letter — select the cell below and copy</t>
        </is>
      </c>
    </row>
    <row r="125" ht="300" customHeight="1" s="20">
      <c r="C125" s="33" t="inlineStr">
        <is>
          <t>Dear Freedom of Information team,
I am making this request under the Freedom of Information Act 2000.
Re: FOI/guidance request — is a 'requires a BSL interpreter' flag special-category data under Article 9?
Published ICO guidance addresses 'Deaf' or a disability diagnosis as special-category data under UK GDPR Article 9, but this domain's research has not found any published ICO position on whether a narrower flag — 'requires a BSL interpreter', recorded without any accompanying diagnosis or disability label — is itself special-category data.
1. In the ICO's view, is a 'requires a BSL interpreter' flag, held on its own without any accompanying diagnosis or disability label, special-category data under Article 9 UK GDPR?
2. If this question has not been the subject of any published ICO guidance or decision, please confirm this directly, so the position can be recorded as an open question rather than assumed either way.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126"/>
    <row r="127" ht="43.25" customHeight="1" s="20">
      <c r="B127" s="34" t="inlineStr">
        <is>
          <t>After you send: add a row on Request log. Status = Sent. Date sent = today. The sheet calculates the due date.</t>
        </is>
      </c>
    </row>
    <row r="128"/>
    <row r="129"/>
    <row r="130" ht="15" customHeight="1" s="20">
      <c r="B130" s="23" t="inlineStr">
        <is>
          <t>Target #10  ·  Financial Ombudsman Service</t>
        </is>
      </c>
    </row>
    <row r="131" ht="15" customHeight="1" s="20">
      <c r="B131" s="24" t="inlineStr">
        <is>
          <t>Your full name (required)</t>
        </is>
      </c>
      <c r="C131" s="29" t="inlineStr">
        <is>
          <t>Graeme Gordon</t>
        </is>
      </c>
    </row>
    <row r="132" ht="15" customHeight="1" s="20">
      <c r="B132" s="24" t="inlineStr">
        <is>
          <t>Your email</t>
        </is>
      </c>
      <c r="C132" s="29" t="inlineStr">
        <is>
          <t>graemebgordon@me.com</t>
        </is>
      </c>
    </row>
    <row r="133" ht="15" customHeight="1" s="20">
      <c r="B133" s="24" t="inlineStr">
        <is>
          <t>Today's date</t>
        </is>
      </c>
      <c r="C133" s="30" t="n">
        <v>46272</v>
      </c>
    </row>
    <row r="134" ht="15" customHeight="1" s="20">
      <c r="B134" s="24" t="inlineStr">
        <is>
          <t>Send this letter to</t>
        </is>
      </c>
      <c r="C134" s="25" t="inlineStr">
        <is>
          <t>Financial Ombudsman Service (FOS)</t>
        </is>
      </c>
    </row>
    <row r="135" ht="15" customHeight="1" s="20">
      <c r="B135" s="24" t="inlineStr">
        <is>
          <t>FOI route</t>
        </is>
      </c>
      <c r="C135" s="25" t="inlineStr">
        <is>
          <t>FOS enquiries (FOS is not subject to FOIA — use its general enquiries/press office route) / WhatDoTheyKnow (informal)</t>
        </is>
      </c>
    </row>
    <row r="136" ht="15" customHeight="1" s="20">
      <c r="B136" s="24" t="inlineStr">
        <is>
          <t>Subject line (copy this)</t>
        </is>
      </c>
      <c r="C136" s="25" t="inlineStr">
        <is>
          <t>Enquiry — unpublished complaint data on refusal of interpreter/VRS-relayed calls</t>
        </is>
      </c>
    </row>
    <row r="137"/>
    <row r="138" ht="15" customHeight="1" s="20">
      <c r="B138" s="31" t="inlineStr">
        <is>
          <t>COPY FROM HERE</t>
        </is>
      </c>
      <c r="C138" s="32" t="inlineStr">
        <is>
          <t>Full letter — select the cell below and copy</t>
        </is>
      </c>
    </row>
    <row r="139" ht="300" customHeight="1" s="20">
      <c r="C139" s="33" t="inlineStr">
        <is>
          <t>Dear Sir or Madam,
I am writing with a general enquiry (not a Freedom of Information Act request, as the Financial Ombudsman Service is not a public authority for most FOIA purposes).
Re: Enquiry — unpublished complaint data on refusal of interpreter/VRS-relayed calls
This domain's research independently confirmed, via two dedicated search passes of FOS's *published* decisions, that no UK case has been found matching the pattern of an organisation refusing to continue a call because a sign language interpreter or VRS operator was relaying it (the pattern seen in the Irish Kalinova v. Permanent TSB case, for which no UK equivalent could be found).
1. Does the Financial Ombudsman Service hold any unpublished complaint data — whether as individual complaints, thematic analysis, or internal case notes — matching this pattern (a firm declining to proceed with an authenticated customer specifically because an interpreter or relay operator was present on the call)?
2. If such data exists but cannot be released as individual case detail, can FOS confirm even in aggregate whether this complaint pattern has been raised with them at all in the last five years?
Please note: FOS is not a public authority for the purposes of the Freedom of Information Act 2000 in respect of most of its functions, so this is submitted as a general enquiry rather than a formal FOI request; please redirect to the appropriate team if there is a more suitable route for this question.
If any part of this request would exceed the appropriate cost limit, please advise how I should narrow it rather than refusing in full. Please send the response in a reusable format (for example, as text, CSV, or Excel) rather than a scanned image.
Yours sincerely,
Graeme Gordon</t>
        </is>
      </c>
    </row>
    <row r="140"/>
    <row r="141" ht="43.25" customHeight="1" s="20">
      <c r="B141" s="34" t="inlineStr">
        <is>
          <t>After you send: add a row on Request log. Status = Sent. Date sent = today. The sheet calculates the due date.</t>
        </is>
      </c>
    </row>
    <row r="142"/>
    <row r="143"/>
    <row r="144" ht="15" customHeight="1" s="20">
      <c r="B144" s="23" t="inlineStr">
        <is>
          <t>Target #11  ·  EHRC</t>
        </is>
      </c>
    </row>
    <row r="145" ht="15" customHeight="1" s="20">
      <c r="B145" s="24" t="inlineStr">
        <is>
          <t>Your full name (required)</t>
        </is>
      </c>
      <c r="C145" s="29" t="inlineStr">
        <is>
          <t>Graeme Gordon</t>
        </is>
      </c>
    </row>
    <row r="146" ht="15" customHeight="1" s="20">
      <c r="B146" s="24" t="inlineStr">
        <is>
          <t>Your email</t>
        </is>
      </c>
      <c r="C146" s="29" t="inlineStr">
        <is>
          <t>graemebgordon@me.com</t>
        </is>
      </c>
    </row>
    <row r="147" ht="15" customHeight="1" s="20">
      <c r="B147" s="24" t="inlineStr">
        <is>
          <t>Today's date</t>
        </is>
      </c>
      <c r="C147" s="30" t="n">
        <v>46272</v>
      </c>
    </row>
    <row r="148" ht="15" customHeight="1" s="20">
      <c r="B148" s="24" t="inlineStr">
        <is>
          <t>Send this letter to</t>
        </is>
      </c>
      <c r="C148" s="25" t="inlineStr">
        <is>
          <t>Equality and Human Rights Commission (EHRC)</t>
        </is>
      </c>
    </row>
    <row r="149" ht="15" customHeight="1" s="20">
      <c r="B149" s="24" t="inlineStr">
        <is>
          <t>FOI route</t>
        </is>
      </c>
      <c r="C149" s="25" t="inlineStr">
        <is>
          <t>EHRC FOI team / WhatDoTheyKnow</t>
        </is>
      </c>
    </row>
    <row r="150" ht="15" customHeight="1" s="20">
      <c r="B150" s="24" t="inlineStr">
        <is>
          <t>Subject line (copy this)</t>
        </is>
      </c>
      <c r="C150" s="25" t="inlineStr">
        <is>
          <t>FOI — has the 2014 'no third-party calls' indirect-discrimination guidance been applied to a BSL/VRS case?</t>
        </is>
      </c>
    </row>
    <row r="151"/>
    <row r="152" ht="15" customHeight="1" s="20">
      <c r="B152" s="31" t="inlineStr">
        <is>
          <t>COPY FROM HERE</t>
        </is>
      </c>
      <c r="C152" s="32" t="inlineStr">
        <is>
          <t>Full letter — select the cell below and copy</t>
        </is>
      </c>
    </row>
    <row r="153" ht="300" customHeight="1" s="20">
      <c r="C153" s="33" t="inlineStr">
        <is>
          <t>Dear Freedom of Information team,
I am making this request under the Freedom of Information Act 2000.
Re: FOI — has the 2014 'no third-party calls' indirect-discrimination guidance been applied to a BSL/VRS case?
The EHRC's Equality law: a guide for businesses (April 2014) states that a blanket 'no third-party calls' policy can amount to indirect discrimination, using a support-worker scenario as its example.
1. Has this specific guidance paragraph ever been applied, cited, or relied upon by the EHRC in a bank or financial-services enforcement matter, complaint, or piece of advice specifically involving a British Sign Language interpreter or video relay service operator, as opposed to a general support worker?
2. If such a case or enquiry exists, please provide any record of its outcome, in a form that does not identify the individual complainant if applicable.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154"/>
    <row r="155" ht="43.25" customHeight="1" s="20">
      <c r="B155" s="34" t="inlineStr">
        <is>
          <t>After you send: add a row on Request log. Status = Sent. Date sent = today. The sheet calculates the due date.</t>
        </is>
      </c>
    </row>
    <row r="156"/>
    <row r="157"/>
    <row r="158" ht="15" customHeight="1" s="20">
      <c r="B158" s="23" t="inlineStr">
        <is>
          <t>Target #12  ·  DCMS</t>
        </is>
      </c>
    </row>
    <row r="159" ht="15" customHeight="1" s="20">
      <c r="B159" s="24" t="inlineStr">
        <is>
          <t>Your full name (required)</t>
        </is>
      </c>
      <c r="C159" s="29" t="inlineStr">
        <is>
          <t>Graeme Gordon</t>
        </is>
      </c>
    </row>
    <row r="160" ht="15" customHeight="1" s="20">
      <c r="B160" s="24" t="inlineStr">
        <is>
          <t>Your email</t>
        </is>
      </c>
      <c r="C160" s="29" t="inlineStr">
        <is>
          <t>graemebgordon@me.com</t>
        </is>
      </c>
    </row>
    <row r="161" ht="15" customHeight="1" s="20">
      <c r="B161" s="24" t="inlineStr">
        <is>
          <t>Today's date</t>
        </is>
      </c>
      <c r="C161" s="30" t="n">
        <v>46272</v>
      </c>
    </row>
    <row r="162" ht="15" customHeight="1" s="20">
      <c r="B162" s="24" t="inlineStr">
        <is>
          <t>Send this letter to</t>
        </is>
      </c>
      <c r="C162" s="25" t="inlineStr">
        <is>
          <t>Department for Culture, Media and Sport (DCMS)</t>
        </is>
      </c>
    </row>
    <row r="163" ht="15" customHeight="1" s="20">
      <c r="B163" s="24" t="inlineStr">
        <is>
          <t>FOI route</t>
        </is>
      </c>
      <c r="C163" s="25" t="inlineStr">
        <is>
          <t>DCMS FOI team (foirequests@dcms.gov.uk) / WhatDoTheyKnow</t>
        </is>
      </c>
    </row>
    <row r="164" ht="15" customHeight="1" s="20">
      <c r="B164" s="24" t="inlineStr">
        <is>
          <t>Subject line (copy this)</t>
        </is>
      </c>
      <c r="C164" s="25" t="inlineStr">
        <is>
          <t>FOI — has extending General Condition C5 to everyday VRS been discussed with Ofcom since Locked Out (2025)?</t>
        </is>
      </c>
    </row>
    <row r="165"/>
    <row r="166" ht="15" customHeight="1" s="20">
      <c r="B166" s="31" t="inlineStr">
        <is>
          <t>COPY FROM HERE</t>
        </is>
      </c>
      <c r="C166" s="32" t="inlineStr">
        <is>
          <t>Full letter — select the cell below and copy</t>
        </is>
      </c>
    </row>
    <row r="167" ht="300" customHeight="1" s="20">
      <c r="C167" s="33" t="inlineStr">
        <is>
          <t>Dear Freedom of Information team,
I am making this request under the Freedom of Information Act 2000.
Re: FOI — has extending General Condition C5 to everyday VRS been discussed with Ofcom since Locked Out (2025)?
The BSL Advisory Board's Locked Out report (27 November 2025) recommended a national 24/7 video relay service. Ofcom's existing emergency-only VRS mandate uses General Condition C5, under powers in the Communications Act 2003.
1. Has DCMS discussed with Ofcom the possibility of extending General Condition C5 from emergency-only to everyday, any-number VRS, since the publication of Locked Out?
2. Has this been framed, in any internal discussion DCMS holds a record of, as a General Condition modification (a matter of secondary regulation for Ofcom) or as requiring new primary legislation? Please provide any relevant correspondence, submission, or briefing note.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168"/>
    <row r="169" ht="43.25" customHeight="1" s="20">
      <c r="B169" s="34" t="inlineStr">
        <is>
          <t>After you send: add a row on Request log. Status = Sent. Date sent = today. The sheet calculates the due date.</t>
        </is>
      </c>
    </row>
    <row r="170"/>
    <row r="171"/>
    <row r="172" ht="15" customHeight="1" s="20">
      <c r="B172" s="23" t="inlineStr">
        <is>
          <t>Target #13  ·  Scottish Government (Contact Scotland BSL KPIs)</t>
        </is>
      </c>
    </row>
    <row r="173" ht="15" customHeight="1" s="20">
      <c r="B173" s="24" t="inlineStr">
        <is>
          <t>Your full name (required)</t>
        </is>
      </c>
      <c r="C173" s="29" t="inlineStr">
        <is>
          <t>Graeme Gordon</t>
        </is>
      </c>
    </row>
    <row r="174" ht="15" customHeight="1" s="20">
      <c r="B174" s="24" t="inlineStr">
        <is>
          <t>Your email</t>
        </is>
      </c>
      <c r="C174" s="29" t="inlineStr">
        <is>
          <t>graemebgordon@me.com</t>
        </is>
      </c>
    </row>
    <row r="175" ht="15" customHeight="1" s="20">
      <c r="B175" s="24" t="inlineStr">
        <is>
          <t>Today's date</t>
        </is>
      </c>
      <c r="C175" s="30" t="n">
        <v>46272</v>
      </c>
    </row>
    <row r="176" ht="15" customHeight="1" s="20">
      <c r="B176" s="24" t="inlineStr">
        <is>
          <t>Send this letter to</t>
        </is>
      </c>
      <c r="C176" s="25" t="inlineStr">
        <is>
          <t>Scottish Government / Sign Solutions</t>
        </is>
      </c>
    </row>
    <row r="177" ht="15" customHeight="1" s="20">
      <c r="B177" s="24" t="inlineStr">
        <is>
          <t>FOI route</t>
        </is>
      </c>
      <c r="C177" s="25" t="inlineStr">
        <is>
          <t>Scottish Government FOI team / WhatDoTheyKnow</t>
        </is>
      </c>
    </row>
    <row r="178" ht="15" customHeight="1" s="20">
      <c r="B178" s="24" t="inlineStr">
        <is>
          <t>Subject line (copy this)</t>
        </is>
      </c>
      <c r="C178" s="25" t="inlineStr">
        <is>
          <t>FOI — current Contact Scotland BSL KPI report: call volumes and international/work-call exclusion wording</t>
        </is>
      </c>
    </row>
    <row r="179"/>
    <row r="180" ht="15" customHeight="1" s="20">
      <c r="B180" s="31" t="inlineStr">
        <is>
          <t>COPY FROM HERE</t>
        </is>
      </c>
      <c r="C180" s="32" t="inlineStr">
        <is>
          <t>Full letter — select the cell below and copy</t>
        </is>
      </c>
    </row>
    <row r="181" ht="300" customHeight="1" s="20">
      <c r="C181" s="33" t="inlineStr">
        <is>
          <t>Dear Freedom of Information team,
I am making this request under the Freedom of Information Act 2000.
Re: FOI — current Contact Scotland BSL KPI report: call volumes and international/work-call exclusion wording
Contact Scotland BSL is Scotland's national any-number video relay service, currently operated by Sign Solutions (since 1 December 2025, a £3,000,000 contract). This domain's research has an unsourced figure of '3,000-4,000 calls/month' traceable only to the BSL Advisory Board's Locked Out report, and could not independently re-fetch the service's own 'Deaf Callers' web page to confirm its stated exclusion of international calls and work-related calls.
1. Please provide the most recent KPI or performance report for Contact Scotland BSL giving actual monthly or annual call volumes.
2. Please confirm the exact current wording of any stated exclusion of international calls or work-related calls from the service's scope.
3. Please confirm the exact date Sign Solutions' operatorship of the service began, and the exact date the service's previous operator (Sorenson / Sign Language Interactions) ceased operating it.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182"/>
    <row r="183" ht="43.25" customHeight="1" s="20">
      <c r="B183" s="34" t="inlineStr">
        <is>
          <t>After you send: add a row on Request log. Status = Sent. Date sent = today. The sheet calculates the due date.</t>
        </is>
      </c>
    </row>
    <row r="184"/>
    <row r="185"/>
    <row r="186" ht="15" customHeight="1" s="20">
      <c r="B186" s="23" t="inlineStr">
        <is>
          <t>Target #14  ·  NHS England (delivery-mode recording)</t>
        </is>
      </c>
    </row>
    <row r="187" ht="15" customHeight="1" s="20">
      <c r="B187" s="24" t="inlineStr">
        <is>
          <t>Your full name (required)</t>
        </is>
      </c>
      <c r="C187" s="29" t="inlineStr">
        <is>
          <t>Graeme Gordon</t>
        </is>
      </c>
    </row>
    <row r="188" ht="15" customHeight="1" s="20">
      <c r="B188" s="24" t="inlineStr">
        <is>
          <t>Your email</t>
        </is>
      </c>
      <c r="C188" s="29" t="inlineStr">
        <is>
          <t>graemebgordon@me.com</t>
        </is>
      </c>
    </row>
    <row r="189" ht="15" customHeight="1" s="20">
      <c r="B189" s="24" t="inlineStr">
        <is>
          <t>Today's date</t>
        </is>
      </c>
      <c r="C189" s="30" t="n">
        <v>46272</v>
      </c>
    </row>
    <row r="190" ht="15" customHeight="1" s="20">
      <c r="B190" s="24" t="inlineStr">
        <is>
          <t>Send this letter to</t>
        </is>
      </c>
      <c r="C190" s="25" t="inlineStr">
        <is>
          <t>NHS England / a sample of NHS trusts</t>
        </is>
      </c>
    </row>
    <row r="191" ht="15" customHeight="1" s="20">
      <c r="B191" s="24" t="inlineStr">
        <is>
          <t>FOI route</t>
        </is>
      </c>
      <c r="C191" s="25" t="inlineStr">
        <is>
          <t>NHS England FOI team (england.foi@nhs.net) / WhatDoTheyKnow</t>
        </is>
      </c>
    </row>
    <row r="192" ht="15" customHeight="1" s="20">
      <c r="B192" s="24" t="inlineStr">
        <is>
          <t>Subject line (copy this)</t>
        </is>
      </c>
      <c r="C192" s="25" t="inlineStr">
        <is>
          <t>FOI — is any guidance planned requiring finance systems to record interpreting spend by delivery method?</t>
        </is>
      </c>
    </row>
    <row r="193"/>
    <row r="194" ht="15" customHeight="1" s="20">
      <c r="B194" s="31" t="inlineStr">
        <is>
          <t>COPY FROM HERE</t>
        </is>
      </c>
      <c r="C194" s="32" t="inlineStr">
        <is>
          <t>Full letter — select the cell below and copy</t>
        </is>
      </c>
    </row>
    <row r="195" ht="300" customHeight="1" s="20">
      <c r="C195" s="33" t="inlineStr">
        <is>
          <t>Dear Freedom of Information team,
I am making this request under the Freedom of Information Act 2000.
Re: FOI — is any guidance planned requiring finance systems to record interpreting spend by delivery method?
Independent research for this domain found that roughly 84% of NHS organisations cannot separate interpreting spend by delivery method (video relay vs face-to-face vs telephone) in their own finance systems, which is a structural reason no VRS-vs-face-to-face value-for-money comparison can currently be built from routine NHS data.
1. Does any national or regional NHS England guidance exist, or is any planned, that would require NHS finance systems to record interpreting spend broken down by delivery method?
2. If not currently planned, has this gap been raised internally as a barrier to value-for-money analysis of interpreting provision, and if so, please provide any record of that discussion.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196"/>
    <row r="197" ht="43.25" customHeight="1" s="20">
      <c r="B197" s="34" t="inlineStr">
        <is>
          <t>After you send: add a row on Request log. Status = Sent. Date sent = today. The sheet calculates the due date.</t>
        </is>
      </c>
    </row>
    <row r="198"/>
    <row r="199"/>
    <row r="200" ht="35.05" customHeight="1" s="20">
      <c r="B200" s="24" t="inlineStr">
        <is>
          <t>Target #15</t>
        </is>
      </c>
      <c r="C200" s="35" t="inlineStr">
        <is>
          <t>This item (originally: whether RM6302 Lot 4 suppliers must submit delivery-mode-disaggregated pricing, and whether this is being considered for the next framework refresh) has been folded into the single combined request already sent to Crown Commercial Service — see target #4 above. No separate letter is needed.</t>
        </is>
      </c>
    </row>
    <row r="201"/>
    <row r="202"/>
    <row r="203" ht="15" customHeight="1" s="20">
      <c r="B203" s="23" t="inlineStr">
        <is>
          <t>Target #16  ·  BSL Advisory Board / DHSC</t>
        </is>
      </c>
    </row>
    <row r="204" ht="15" customHeight="1" s="20">
      <c r="B204" s="24" t="inlineStr">
        <is>
          <t>Your full name (required)</t>
        </is>
      </c>
      <c r="C204" s="29" t="inlineStr">
        <is>
          <t>Graeme Gordon</t>
        </is>
      </c>
    </row>
    <row r="205" ht="15" customHeight="1" s="20">
      <c r="B205" s="24" t="inlineStr">
        <is>
          <t>Your email</t>
        </is>
      </c>
      <c r="C205" s="29" t="inlineStr">
        <is>
          <t>graemebgordon@me.com</t>
        </is>
      </c>
    </row>
    <row r="206" ht="15" customHeight="1" s="20">
      <c r="B206" s="24" t="inlineStr">
        <is>
          <t>Today's date</t>
        </is>
      </c>
      <c r="C206" s="30" t="n">
        <v>46272</v>
      </c>
    </row>
    <row r="207" ht="15" customHeight="1" s="20">
      <c r="B207" s="24" t="inlineStr">
        <is>
          <t>Send this letter to</t>
        </is>
      </c>
      <c r="C207" s="25" t="inlineStr">
        <is>
          <t>BSL Advisory Board / Department of Health and Social Care (DHSC)</t>
        </is>
      </c>
    </row>
    <row r="208" ht="15" customHeight="1" s="20">
      <c r="B208" s="24" t="inlineStr">
        <is>
          <t>FOI route</t>
        </is>
      </c>
      <c r="C208" s="25" t="inlineStr">
        <is>
          <t>DHSC FOI team (foi@dhsc.gov.uk) / WhatDoTheyKnow</t>
        </is>
      </c>
    </row>
    <row r="209" ht="15" customHeight="1" s="20">
      <c r="B209" s="24" t="inlineStr">
        <is>
          <t>Subject line (copy this)</t>
        </is>
      </c>
      <c r="C209" s="25" t="inlineStr">
        <is>
          <t>FOI — methodology note for the £80-100 million/year cost-of-exclusion estimate in Locked Out</t>
        </is>
      </c>
    </row>
    <row r="210"/>
    <row r="211" ht="15" customHeight="1" s="20">
      <c r="B211" s="31" t="inlineStr">
        <is>
          <t>COPY FROM HERE</t>
        </is>
      </c>
      <c r="C211" s="32" t="inlineStr">
        <is>
          <t>Full letter — select the cell below and copy</t>
        </is>
      </c>
    </row>
    <row r="212" ht="300" customHeight="1" s="20">
      <c r="C212" s="33" t="inlineStr">
        <is>
          <t>Dear Freedom of Information team,
I am making this request under the Freedom of Information Act 2000.
Re: FOI — methodology note for the £80-100 million/year cost-of-exclusion estimate in Locked Out
The BSL Advisory Board's Locked Out report (27 November 2025) cites a £80-100 million per year cost-of-exclusion estimate, which this domain's research has traced to SignHealth's own inflation-adjusted uplift of its 2014 Sick Of It £30m estimate, repeated as a footnote rather than independently costed by government.
1. Does a published or internal methodology note exist explaining how the £80-100 million/year figure in Locked Out was calculated or derived?
2. Has this figure ever been set against, reconciled with, or discussed alongside Ofcom's separate £41.6-£113.4 million/year cost-of-*provision* estimate for universal VRS, in any internal DHSC or BSL Advisory Board analysis? (These are two different estimates of two different things — cost of exclusion versus cost of provision — and this domain's research has found them at risk of being conflated in public discussion.)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213"/>
    <row r="214" ht="43.25" customHeight="1" s="20">
      <c r="B214" s="34" t="inlineStr">
        <is>
          <t>After you send: add a row on Request log. Status = Sent. Date sent = today. The sheet calculates the due date.</t>
        </is>
      </c>
    </row>
    <row r="215"/>
    <row r="216"/>
    <row r="217" ht="15" customHeight="1" s="20">
      <c r="B217" s="23" t="inlineStr">
        <is>
          <t>Target #17  ·  DWP / Access to Work (rate table)</t>
        </is>
      </c>
    </row>
    <row r="218" ht="15" customHeight="1" s="20">
      <c r="B218" s="24" t="inlineStr">
        <is>
          <t>Your full name (required)</t>
        </is>
      </c>
      <c r="C218" s="29" t="inlineStr">
        <is>
          <t>Graeme Gordon</t>
        </is>
      </c>
    </row>
    <row r="219" ht="15" customHeight="1" s="20">
      <c r="B219" s="24" t="inlineStr">
        <is>
          <t>Your email</t>
        </is>
      </c>
      <c r="C219" s="29" t="inlineStr">
        <is>
          <t>graemebgordon@me.com</t>
        </is>
      </c>
    </row>
    <row r="220" ht="15" customHeight="1" s="20">
      <c r="B220" s="24" t="inlineStr">
        <is>
          <t>Today's date</t>
        </is>
      </c>
      <c r="C220" s="30" t="n">
        <v>46272</v>
      </c>
    </row>
    <row r="221" ht="15" customHeight="1" s="20">
      <c r="B221" s="24" t="inlineStr">
        <is>
          <t>Send this letter to</t>
        </is>
      </c>
      <c r="C221" s="25" t="inlineStr">
        <is>
          <t>DWP / Access to Work</t>
        </is>
      </c>
    </row>
    <row r="222" ht="15" customHeight="1" s="20">
      <c r="B222" s="24" t="inlineStr">
        <is>
          <t>FOI route</t>
        </is>
      </c>
      <c r="C222" s="25" t="inlineStr">
        <is>
          <t>DWP FOI team (foi-request@dwp.gov.uk) / WhatDoTheyKnow</t>
        </is>
      </c>
    </row>
    <row r="223" ht="15" customHeight="1" s="20">
      <c r="B223" s="24" t="inlineStr">
        <is>
          <t>Subject line (copy this)</t>
        </is>
      </c>
      <c r="C223" s="25" t="inlineStr">
        <is>
          <t>FOI — current published (or unpublished) Support Worker / BSL interpreter hourly rate bands and VRI bundle pricing</t>
        </is>
      </c>
    </row>
    <row r="224"/>
    <row r="225" ht="15" customHeight="1" s="20">
      <c r="B225" s="31" t="inlineStr">
        <is>
          <t>COPY FROM HERE</t>
        </is>
      </c>
      <c r="C225" s="32" t="inlineStr">
        <is>
          <t>Full letter — select the cell below and copy</t>
        </is>
      </c>
    </row>
    <row r="226" ht="300" customHeight="1" s="20">
      <c r="C226" s="33" t="inlineStr">
        <is>
          <t>Dear Freedom of Information team,
I am making this request under the Freedom of Information Act 2000.
Re: FOI — current published (or unpublished) Support Worker / BSL interpreter hourly rate bands and VRI bundle pricing
This domain's independent verification could not locate any BSL interpreter hourly rate table or VRS/VRI monthly-bundle pricing table in the current GOV.UK Access to Work: staff guide. A separate FOI thread found DWP stating there are 'no defined or prescriptive rates in guidance documents', while separately quoting a working expectation of £45/hour (London) and £35/hour (elsewhere) for fully qualified interpreters — figures that do not match the more elaborate rate bands and bundle pricing in wider circulation (attributed, unverified, to the staff guide).
1. Does Access to Work hold any current published or internal rate table for BSL interpreter or Communication Support Worker hourly rates, beyond general 'maximum expected' guidance to advisers?
2. Does Access to Work hold any current published or internal pricing table for remote/video BSL interpreting delivered in monthly-minute bundles (e.g. a fixed number of minutes per month at a set price)?
3. If either exists, please provide a full copy. If neither exists, please confirm this directly, since specific figures purporting to come from Access to Work are in circulation and cannot currently be traced to any document this research has been able to open.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227"/>
    <row r="228" ht="43.25" customHeight="1" s="20">
      <c r="B228" s="34" t="inlineStr">
        <is>
          <t>After you send: add a row on Request log. Status = Sent. Date sent = today. The sheet calculates the due date.</t>
        </is>
      </c>
    </row>
    <row r="229"/>
    <row r="230"/>
    <row r="231" ht="15" customHeight="1" s="20">
      <c r="B231" s="23" t="inlineStr">
        <is>
          <t>Target #18  ·  NHS Wales</t>
        </is>
      </c>
    </row>
    <row r="232" ht="15" customHeight="1" s="20">
      <c r="B232" s="24" t="inlineStr">
        <is>
          <t>Your full name (required)</t>
        </is>
      </c>
      <c r="C232" s="29" t="inlineStr">
        <is>
          <t>Graeme Gordon</t>
        </is>
      </c>
    </row>
    <row r="233" ht="15" customHeight="1" s="20">
      <c r="B233" s="24" t="inlineStr">
        <is>
          <t>Your email</t>
        </is>
      </c>
      <c r="C233" s="29" t="inlineStr">
        <is>
          <t>graemebgordon@me.com</t>
        </is>
      </c>
    </row>
    <row r="234" ht="15" customHeight="1" s="20">
      <c r="B234" s="24" t="inlineStr">
        <is>
          <t>Today's date</t>
        </is>
      </c>
      <c r="C234" s="30" t="n">
        <v>46272</v>
      </c>
    </row>
    <row r="235" ht="15" customHeight="1" s="20">
      <c r="B235" s="24" t="inlineStr">
        <is>
          <t>Send this letter to</t>
        </is>
      </c>
      <c r="C235" s="25" t="inlineStr">
        <is>
          <t>NHS Wales / NHS 111 Wales</t>
        </is>
      </c>
    </row>
    <row r="236" ht="15" customHeight="1" s="20">
      <c r="B236" s="24" t="inlineStr">
        <is>
          <t>FOI route</t>
        </is>
      </c>
      <c r="C236" s="25" t="inlineStr">
        <is>
          <t>NHS Wales Informatics Service / relevant Health Board FOI team / WhatDoTheyKnow</t>
        </is>
      </c>
    </row>
    <row r="237" ht="15" customHeight="1" s="20">
      <c r="B237" s="24" t="inlineStr">
        <is>
          <t>Subject line (copy this)</t>
        </is>
      </c>
      <c r="C237" s="25" t="inlineStr">
        <is>
          <t>FOI — does any dedicated BSL video relay service exist for NHS 111 in Wales?</t>
        </is>
      </c>
    </row>
    <row r="238"/>
    <row r="239" ht="15" customHeight="1" s="20">
      <c r="B239" s="31" t="inlineStr">
        <is>
          <t>COPY FROM HERE</t>
        </is>
      </c>
      <c r="C239" s="32" t="inlineStr">
        <is>
          <t>Full letter — select the cell below and copy</t>
        </is>
      </c>
    </row>
    <row r="240" ht="300" customHeight="1" s="20">
      <c r="C240" s="33" t="inlineStr">
        <is>
          <t>Dear Freedom of Information team,
I am making this request under the Freedom of Information Act 2000.
Re: FOI — does any dedicated BSL video relay service exist for NHS 111 in Wales?
A claimed Wales-specific NHS 111 BSL video relay service (via SignVideo, 08:00-midnight) could not be found by this domain's research and is now believed to be incorrect or fabricated — NHS 111 Wales's own published material describes only Relay UK (text relay), with no mention of BSL video relay.
1. Does any dedicated British Sign Language video relay service exist for NHS 111 in Wales, whether commissioned nationally or by an individual Welsh Health Board?
2. If no such service currently exists, has one ever been considered, trialled, or discussed for NHS 111 in Wales? Please provide any relevant record.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241"/>
    <row r="242" ht="43.25" customHeight="1" s="20">
      <c r="B242" s="34" t="inlineStr">
        <is>
          <t>After you send: add a row on Request log. Status = Sent. Date sent = today. The sheet calculates the due date.</t>
        </is>
      </c>
    </row>
    <row r="243"/>
    <row r="244"/>
    <row r="245" ht="15" customHeight="1" s="20">
      <c r="B245" s="23" t="inlineStr">
        <is>
          <t>Target #19  ·  DWP / Access to Work (workplace IT barriers)</t>
        </is>
      </c>
    </row>
    <row r="246" ht="15" customHeight="1" s="20">
      <c r="B246" s="24" t="inlineStr">
        <is>
          <t>Your full name (required)</t>
        </is>
      </c>
      <c r="C246" s="29" t="inlineStr">
        <is>
          <t>Graeme Gordon</t>
        </is>
      </c>
    </row>
    <row r="247" ht="15" customHeight="1" s="20">
      <c r="B247" s="24" t="inlineStr">
        <is>
          <t>Your email</t>
        </is>
      </c>
      <c r="C247" s="29" t="inlineStr">
        <is>
          <t>graemebgordon@me.com</t>
        </is>
      </c>
    </row>
    <row r="248" ht="15" customHeight="1" s="20">
      <c r="B248" s="24" t="inlineStr">
        <is>
          <t>Today's date</t>
        </is>
      </c>
      <c r="C248" s="30" t="n">
        <v>46272</v>
      </c>
    </row>
    <row r="249" ht="15" customHeight="1" s="20">
      <c r="B249" s="24" t="inlineStr">
        <is>
          <t>Send this letter to</t>
        </is>
      </c>
      <c r="C249" s="25" t="inlineStr">
        <is>
          <t>DWP / Access to Work</t>
        </is>
      </c>
    </row>
    <row r="250" ht="15" customHeight="1" s="20">
      <c r="B250" s="24" t="inlineStr">
        <is>
          <t>FOI route</t>
        </is>
      </c>
      <c r="C250" s="25" t="inlineStr">
        <is>
          <t>DWP FOI team (foi-request@dwp.gov.uk) / WhatDoTheyKnow</t>
        </is>
      </c>
    </row>
    <row r="251" ht="15" customHeight="1" s="20">
      <c r="B251" s="24" t="inlineStr">
        <is>
          <t>Subject line (copy this)</t>
        </is>
      </c>
      <c r="C251" s="25" t="inlineStr">
        <is>
          <t>FOI — has AtW considered funding employer-side IT/network changes needed to run a VRS app at work?</t>
        </is>
      </c>
    </row>
    <row r="252"/>
    <row r="253" ht="15" customHeight="1" s="20">
      <c r="B253" s="31" t="inlineStr">
        <is>
          <t>COPY FROM HERE</t>
        </is>
      </c>
      <c r="C253" s="32" t="inlineStr">
        <is>
          <t>Full letter — select the cell below and copy</t>
        </is>
      </c>
    </row>
    <row r="254" ht="300" customHeight="1" s="20">
      <c r="C254" s="33" t="inlineStr">
        <is>
          <t>Dear Freedom of Information team,
I am making this request under the Freedom of Information Act 2000.
Re: FOI — has AtW considered funding employer-side IT/network changes needed to run a VRS app at work?
This domain's research (Section 29) confirms that UK VRS providers publish corporate-firewall guidance for employers, implying that workplace network restrictions are a known practical barrier to using a VRS app on a work device. Access to Work funds interpreting minutes, but its published guidance does not appear to address this technical access barrier directly.
1. Has Access to Work ever funded, or considered funding, employer-side IT or network changes (for example, firewall allow-listing or VPN exceptions) specifically to enable a Deaf employee to use a VRS application on a work device?
2. If this is outside Access to Work's current scope, please confirm this directly and, if held, name which scheme or body (if any) a Deaf employee or their employer should approach for this specific barrier.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255"/>
    <row r="256" ht="43.25" customHeight="1" s="20">
      <c r="B256" s="34" t="inlineStr">
        <is>
          <t>After you send: add a row on Request log. Status = Sent. Date sent = today. The sheet calculates the due date.</t>
        </is>
      </c>
    </row>
    <row r="257"/>
    <row r="258"/>
    <row r="259" ht="15" customHeight="1" s="20">
      <c r="B259" s="23" t="inlineStr">
        <is>
          <t>Target #20  ·  Sheffield City Council</t>
        </is>
      </c>
    </row>
    <row r="260" ht="15" customHeight="1" s="20">
      <c r="B260" s="24" t="inlineStr">
        <is>
          <t>Your full name (required)</t>
        </is>
      </c>
      <c r="C260" s="29" t="inlineStr">
        <is>
          <t>Graeme Gordon</t>
        </is>
      </c>
    </row>
    <row r="261" ht="15" customHeight="1" s="20">
      <c r="B261" s="24" t="inlineStr">
        <is>
          <t>Your email</t>
        </is>
      </c>
      <c r="C261" s="29" t="inlineStr">
        <is>
          <t>graemebgordon@me.com</t>
        </is>
      </c>
    </row>
    <row r="262" ht="15" customHeight="1" s="20">
      <c r="B262" s="24" t="inlineStr">
        <is>
          <t>Today's date</t>
        </is>
      </c>
      <c r="C262" s="30" t="n">
        <v>46272</v>
      </c>
    </row>
    <row r="263" ht="15" customHeight="1" s="20">
      <c r="B263" s="24" t="inlineStr">
        <is>
          <t>Send this letter to</t>
        </is>
      </c>
      <c r="C263" s="25" t="inlineStr">
        <is>
          <t>Sheffield City Council</t>
        </is>
      </c>
    </row>
    <row r="264" ht="15" customHeight="1" s="20">
      <c r="B264" s="24" t="inlineStr">
        <is>
          <t>FOI route</t>
        </is>
      </c>
      <c r="C264" s="25" t="inlineStr">
        <is>
          <t>Sheffield City Council FOI team / WhatDoTheyKnow</t>
        </is>
      </c>
    </row>
    <row r="265" ht="15" customHeight="1" s="20">
      <c r="B265" s="24" t="inlineStr">
        <is>
          <t>Subject line (copy this)</t>
        </is>
      </c>
      <c r="C265" s="25" t="inlineStr">
        <is>
          <t>FOI — the Signlive/Convo 'Online BSL Services' contract: value and procurement route</t>
        </is>
      </c>
    </row>
    <row r="266"/>
    <row r="267" ht="15" customHeight="1" s="20">
      <c r="B267" s="31" t="inlineStr">
        <is>
          <t>COPY FROM HERE</t>
        </is>
      </c>
      <c r="C267" s="32" t="inlineStr">
        <is>
          <t>Full letter — select the cell below and copy</t>
        </is>
      </c>
    </row>
    <row r="268" ht="300" customHeight="1" s="20">
      <c r="C268" s="33" t="inlineStr">
        <is>
          <t>Dear Freedom of Information team,
I am making this request under the Freedom of Information Act 2000.
Re: FOI — the Signlive/Convo 'Online BSL Services' contract: value and procurement route
Sheffield City Council's own website describes a partnership with Signlive (trading name of SignLive Ltd, part of the Convo group) for BSL interpretation via the Convo app's Community Directory, live since April 2024, with a physical access point at First Point, Howden House. A reported contract value of £35,000 for 'Online BSL Services' could not be located as a citable public procurement notice on Contracts Finder, Find a Tender, Bidstats, or the Council's own YORtender portal, after an exhaustive search of all four platforms.
1. Please confirm the value of the Council's contract or agreement with Signlive/SignLive Ltd/Convo for 'Online BSL Services' (or equivalently described BSL interpretation provision).
2. Please confirm the procurement route used (e.g. direct award, quotation, competitive tender) and, if the contract value fell below the threshold requiring a public procurement notice, please confirm this directly.
3. Please confirm the contract's start date and current status (live, expired, renewed).
If any part of this request would exceed the appropriate cost limit, please advise how I should narrow it rather than refusing in full. Please send the response in a reusable format (for example, as text, CSV, or Excel) rather than a scanned image.
Yours faithfully,
Graeme Gordon</t>
        </is>
      </c>
    </row>
    <row r="269"/>
    <row r="270" ht="43.25" customHeight="1" s="20">
      <c r="B270" s="34" t="inlineStr">
        <is>
          <t>After you send: add a row on Request log. Status = Sent. Date sent = today. The sheet calculates the due date.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4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 min="1" max="1"/>
    <col width="30" customWidth="1" style="19" min="2" max="2"/>
    <col width="14" customWidth="1" style="19" min="3" max="3"/>
    <col width="42" customWidth="1" style="19" min="4" max="4"/>
    <col width="14" customWidth="1" style="19" min="5" max="5"/>
    <col width="12" customWidth="1" style="19" min="6" max="7"/>
    <col width="9" customWidth="1" style="19" min="8" max="8"/>
    <col width="13" customWidth="1" style="19" min="9" max="9"/>
    <col width="16" customWidth="1" style="19" min="10" max="10"/>
    <col width="42" customWidth="1" style="19" min="11" max="11"/>
    <col width="30" customWidth="1" style="19" min="12" max="12"/>
    <col width="16" customWidth="1" style="19" min="13" max="13"/>
    <col width="12" customWidth="1" style="19" min="14" max="14"/>
    <col width="16" customWidth="1" style="19" min="15" max="15"/>
    <col width="30" customWidth="1" style="19" min="16" max="16"/>
    <col width="14" customWidth="1" style="19" min="17" max="17"/>
    <col width="3" customWidth="1" style="19" min="18" max="18"/>
    <col width="26" customWidth="1" style="19" min="19" max="19"/>
  </cols>
  <sheetData>
    <row r="1" ht="270.1" customHeight="1" s="20">
      <c r="A1" s="36" t="inlineStr">
        <is>
          <t>Request log  ·  first-wave rows are pre-filled  ·  add a row when you send  ·  do not delete the header</t>
        </is>
      </c>
    </row>
    <row r="2" ht="648.5" customHeight="1" s="20">
      <c r="A2" s="34" t="inlineStr">
        <is>
          <t>Status uses a dropdown. Due date = 20 working days after Date sent. Days left turns red when overdue. Yellow cells are for you to type. When an answer changes a domain-file finding, update BSL_DOMAIN_video_relay_telecoms.md and VERIFICATION_STATUS.md and note it in column L.</t>
        </is>
      </c>
    </row>
    <row r="4" ht="46.25" customHeight="1" s="20">
      <c r="A4" s="26" t="inlineStr">
        <is>
          <t>ID</t>
        </is>
      </c>
      <c r="B4" s="26" t="inlineStr">
        <is>
          <t>Body</t>
        </is>
      </c>
      <c r="C4" s="26" t="inlineStr">
        <is>
          <t>Type</t>
        </is>
      </c>
      <c r="D4" s="26" t="inlineStr">
        <is>
          <t>What we asked in one line</t>
        </is>
      </c>
      <c r="E4" s="26" t="inlineStr">
        <is>
          <t>Status</t>
        </is>
      </c>
      <c r="F4" s="26" t="inlineStr">
        <is>
          <t>Date sent</t>
        </is>
      </c>
      <c r="G4" s="26" t="inlineStr">
        <is>
          <t>Due date</t>
        </is>
      </c>
      <c r="H4" s="26" t="inlineStr">
        <is>
          <t>Days left</t>
        </is>
      </c>
      <c r="I4" s="26" t="inlineStr">
        <is>
          <t>Date answered</t>
        </is>
      </c>
      <c r="J4" s="26" t="inlineStr">
        <is>
          <t>Outcome</t>
        </is>
      </c>
      <c r="K4" s="26" t="inlineStr">
        <is>
          <t>Headline numbers (or exact refusal wording)</t>
        </is>
      </c>
      <c r="L4" s="26" t="inlineStr">
        <is>
          <t>Domain-file item updated?</t>
        </is>
      </c>
      <c r="M4" s="26" t="inlineStr">
        <is>
          <t>WhatDoTheyKnow / PDF link</t>
        </is>
      </c>
      <c r="N4" s="26" t="inlineStr">
        <is>
          <t>Volunteer</t>
        </is>
      </c>
      <c r="O4" s="26" t="inlineStr">
        <is>
          <t>Follow-up needed?</t>
        </is>
      </c>
      <c r="P4" s="26" t="inlineStr">
        <is>
          <t>Notes</t>
        </is>
      </c>
      <c r="Q4" s="26" t="inlineStr">
        <is>
          <t>WDTK searched first?</t>
        </is>
      </c>
      <c r="S4" s="26" t="inlineStr">
        <is>
          <t>UK bank holidays (England &amp; Wales) — used by Due date formula. Do not delete or move this list.</t>
        </is>
      </c>
    </row>
    <row r="5" ht="57.45" customHeight="1" s="20">
      <c r="A5" s="27" t="n">
        <v>1</v>
      </c>
      <c r="B5" s="27" t="inlineStr">
        <is>
          <t>Department for Work and Pensions (Access to Work)</t>
        </is>
      </c>
      <c r="C5" s="27" t="inlineStr">
        <is>
          <t>DWP</t>
        </is>
      </c>
      <c r="D5" s="27" t="inlineStr">
        <is>
          <t>FOI — isolating VRS-specific spend within Access to Work's Support Worker budget</t>
        </is>
      </c>
      <c r="E5" s="27" t="inlineStr">
        <is>
          <t>Not sent</t>
        </is>
      </c>
      <c r="F5" s="27" t="n"/>
      <c r="G5" s="27">
        <f>IF(F5="","",WORKDAY(F5,20,$S$5:$S$21))</f>
        <v/>
      </c>
      <c r="H5" s="27">
        <f>IF(G5="","",G5-TODAY())</f>
        <v/>
      </c>
      <c r="I5" s="27" t="n"/>
      <c r="J5" s="27" t="inlineStr">
        <is>
          <t>—</t>
        </is>
      </c>
      <c r="K5" s="27" t="n"/>
      <c r="L5" s="27" t="inlineStr">
        <is>
          <t>No</t>
        </is>
      </c>
      <c r="M5" s="27" t="n"/>
      <c r="N5" s="27" t="n"/>
      <c r="O5" s="27" t="inlineStr">
        <is>
          <t>No</t>
        </is>
      </c>
      <c r="P5" s="27" t="inlineStr">
        <is>
          <t>Only a bundled £227m/£320.7m Access to Work total exists; no isolated BSL-only or VRS-only spend figure has been found anywhere in this domain's research.</t>
        </is>
      </c>
      <c r="Q5" s="27" t="inlineStr">
        <is>
          <t>No</t>
        </is>
      </c>
      <c r="S5" s="37" t="n">
        <v>45658</v>
      </c>
    </row>
    <row r="6" ht="79.84999999999999" customHeight="1" s="20">
      <c r="A6" s="27" t="n">
        <v>2</v>
      </c>
      <c r="B6" s="27" t="inlineStr">
        <is>
          <t>Ofcom</t>
        </is>
      </c>
      <c r="C6" s="27" t="inlineStr">
        <is>
          <t>National body</t>
        </is>
      </c>
      <c r="D6" s="27" t="inlineStr">
        <is>
          <t>FOI — reassessment of universal (any-number) VRS cost estimates and General Condition C5 scope</t>
        </is>
      </c>
      <c r="E6" s="27" t="inlineStr">
        <is>
          <t>Not sent</t>
        </is>
      </c>
      <c r="F6" s="27" t="n"/>
      <c r="G6" s="27">
        <f>IF(F6="","",WORKDAY(F6,20,$S$5:$S$21))</f>
        <v/>
      </c>
      <c r="H6" s="27">
        <f>IF(G6="","",G6-TODAY())</f>
        <v/>
      </c>
      <c r="I6" s="27" t="n"/>
      <c r="J6" s="27" t="inlineStr">
        <is>
          <t>—</t>
        </is>
      </c>
      <c r="K6" s="27" t="n"/>
      <c r="L6" s="27" t="inlineStr">
        <is>
          <t>No</t>
        </is>
      </c>
      <c r="M6" s="27" t="n"/>
      <c r="N6" s="27" t="n"/>
      <c r="O6" s="27" t="inlineStr">
        <is>
          <t>No</t>
        </is>
      </c>
      <c r="P6" s="27" t="inlineStr">
        <is>
          <t>Tests whether the 2011 £41.6-113.4m/yr estimate has ever been revisited, and whether a GC-modification route (secondary regulation) to a national VRS has been considered rather than requiring new legislation.</t>
        </is>
      </c>
      <c r="Q6" s="27" t="inlineStr">
        <is>
          <t>No</t>
        </is>
      </c>
      <c r="S6" s="37" t="n">
        <v>45765</v>
      </c>
    </row>
    <row r="7" ht="57.45" customHeight="1" s="20">
      <c r="A7" s="27" t="n">
        <v>3</v>
      </c>
      <c r="B7" s="27" t="inlineStr">
        <is>
          <t>NHS England</t>
        </is>
      </c>
      <c r="C7" s="27" t="inlineStr">
        <is>
          <t>National body</t>
        </is>
      </c>
      <c r="D7" s="27" t="inlineStr">
        <is>
          <t>FOI — decision record for the withdrawal of BSL Health Access funding, 31 March 2021</t>
        </is>
      </c>
      <c r="E7" s="27" t="inlineStr">
        <is>
          <t>Not sent</t>
        </is>
      </c>
      <c r="F7" s="27" t="n"/>
      <c r="G7" s="27">
        <f>IF(F7="","",WORKDAY(F7,20,$S$5:$S$21))</f>
        <v/>
      </c>
      <c r="H7" s="27">
        <f>IF(G7="","",G7-TODAY())</f>
        <v/>
      </c>
      <c r="I7" s="27" t="n"/>
      <c r="J7" s="27" t="inlineStr">
        <is>
          <t>—</t>
        </is>
      </c>
      <c r="K7" s="27" t="n"/>
      <c r="L7" s="27" t="inlineStr">
        <is>
          <t>No</t>
        </is>
      </c>
      <c r="M7" s="27" t="n"/>
      <c r="N7" s="27" t="n"/>
      <c r="O7" s="27" t="inlineStr">
        <is>
          <t>No</t>
        </is>
      </c>
      <c r="P7" s="27" t="inlineStr">
        <is>
          <t>The only genuinely universal (non-per-organisation) VRS the NHS has run; no public rationale for its closure has been found in this domain's research.</t>
        </is>
      </c>
      <c r="Q7" s="27" t="inlineStr">
        <is>
          <t>No</t>
        </is>
      </c>
      <c r="S7" s="37" t="n">
        <v>45768</v>
      </c>
    </row>
    <row r="8" ht="91" customHeight="1" s="20">
      <c r="A8" s="27" t="n">
        <v>4</v>
      </c>
      <c r="B8" s="27" t="inlineStr">
        <is>
          <t>Crown Commercial Service</t>
        </is>
      </c>
      <c r="C8" s="27" t="inlineStr">
        <is>
          <t>National body</t>
        </is>
      </c>
      <c r="D8" s="27" t="inlineStr">
        <is>
          <t>FOI — RM6302 Lot 4 spend broken out by delivery method and by BSL vs other sign languages</t>
        </is>
      </c>
      <c r="E8" s="27" t="inlineStr">
        <is>
          <t>Not sent</t>
        </is>
      </c>
      <c r="F8" s="27" t="n"/>
      <c r="G8" s="27">
        <f>IF(F8="","",WORKDAY(F8,20,$S$5:$S$21))</f>
        <v/>
      </c>
      <c r="H8" s="27">
        <f>IF(G8="","",G8-TODAY())</f>
        <v/>
      </c>
      <c r="I8" s="27" t="n"/>
      <c r="J8" s="27" t="inlineStr">
        <is>
          <t>—</t>
        </is>
      </c>
      <c r="K8" s="27" t="n"/>
      <c r="L8" s="27" t="inlineStr">
        <is>
          <t>No</t>
        </is>
      </c>
      <c r="M8" s="27" t="n"/>
      <c r="N8" s="27" t="n"/>
      <c r="O8" s="27" t="inlineStr">
        <is>
          <t>No</t>
        </is>
      </c>
      <c r="P8" s="27" t="inlineStr">
        <is>
          <t>No isolated BSL-only or VRS-only public-sector spend total exists anywhere in the public record for this framework; combines two related FOI targets (spend breakdown, and reporting-requirement policy) into one request to the same body.</t>
        </is>
      </c>
      <c r="Q8" s="27" t="inlineStr">
        <is>
          <t>No</t>
        </is>
      </c>
      <c r="S8" s="37" t="n">
        <v>45782</v>
      </c>
    </row>
    <row r="9" ht="79.84999999999999" customHeight="1" s="20">
      <c r="A9" s="27" t="n">
        <v>6</v>
      </c>
      <c r="B9" s="27" t="inlineStr">
        <is>
          <t>Information Commissioner's Office (ICO)</t>
        </is>
      </c>
      <c r="C9" s="27" t="inlineStr">
        <is>
          <t>National body</t>
        </is>
      </c>
      <c r="D9" s="27" t="inlineStr">
        <is>
          <t>FOI — copy of the ICO's 2 October 2018 letter to the UK Council on Deafness on GDPR and interpreter/relay calls</t>
        </is>
      </c>
      <c r="E9" s="27" t="inlineStr">
        <is>
          <t>Not sent</t>
        </is>
      </c>
      <c r="F9" s="27" t="n"/>
      <c r="G9" s="27">
        <f>IF(F9="","",WORKDAY(F9,20,$S$5:$S$21))</f>
        <v/>
      </c>
      <c r="H9" s="27">
        <f>IF(G9="","",G9-TODAY())</f>
        <v/>
      </c>
      <c r="I9" s="27" t="n"/>
      <c r="J9" s="27" t="inlineStr">
        <is>
          <t>—</t>
        </is>
      </c>
      <c r="K9" s="27" t="n"/>
      <c r="L9" s="27" t="inlineStr">
        <is>
          <t>No</t>
        </is>
      </c>
      <c r="M9" s="27" t="n"/>
      <c r="N9" s="27" t="n"/>
      <c r="O9" s="27" t="inlineStr">
        <is>
          <t>No</t>
        </is>
      </c>
      <c r="P9" s="27" t="inlineStr">
        <is>
          <t>Closes the domain's one remaining 'Lead-only for exact wording' item — the substance is doubly corroborated (Ofcom's paraphrase, and a short quote fragment on the FOI page) but the letter itself has never been read first-hand.</t>
        </is>
      </c>
      <c r="Q9" s="27" t="inlineStr">
        <is>
          <t>No</t>
        </is>
      </c>
      <c r="S9" s="37" t="n">
        <v>45803</v>
      </c>
    </row>
    <row r="10" ht="68.65000000000001" customHeight="1" s="20">
      <c r="A10" s="27" t="n">
        <v>12</v>
      </c>
      <c r="B10" s="27" t="inlineStr">
        <is>
          <t>Department for Culture, Media and Sport (DCMS)</t>
        </is>
      </c>
      <c r="C10" s="27" t="inlineStr">
        <is>
          <t>National body</t>
        </is>
      </c>
      <c r="D10" s="27" t="inlineStr">
        <is>
          <t>FOI — has extending General Condition C5 to everyday VRS been discussed with Ofcom since Locked Out (2025)?</t>
        </is>
      </c>
      <c r="E10" s="27" t="inlineStr">
        <is>
          <t>Not sent</t>
        </is>
      </c>
      <c r="F10" s="27" t="n"/>
      <c r="G10" s="27">
        <f>IF(F10="","",WORKDAY(F10,20,$S$5:$S$21))</f>
        <v/>
      </c>
      <c r="H10" s="27">
        <f>IF(G10="","",G10-TODAY())</f>
        <v/>
      </c>
      <c r="I10" s="27" t="n"/>
      <c r="J10" s="27" t="inlineStr">
        <is>
          <t>—</t>
        </is>
      </c>
      <c r="K10" s="27" t="n"/>
      <c r="L10" s="27" t="inlineStr">
        <is>
          <t>No</t>
        </is>
      </c>
      <c r="M10" s="27" t="n"/>
      <c r="N10" s="27" t="n"/>
      <c r="O10" s="27" t="inlineStr">
        <is>
          <t>No</t>
        </is>
      </c>
      <c r="P10" s="27" t="inlineStr">
        <is>
          <t>Asks the sponsoring department the same question put to Ofcom directly (target #2) — whether either body sees this as a GC-modification (fast) route or a primary-legislation (slow) one.</t>
        </is>
      </c>
      <c r="Q10" s="27" t="inlineStr">
        <is>
          <t>No</t>
        </is>
      </c>
      <c r="S10" s="37" t="n">
        <v>45894</v>
      </c>
    </row>
    <row r="11" ht="79.84999999999999" customHeight="1" s="20">
      <c r="A11" s="27" t="n">
        <v>13</v>
      </c>
      <c r="B11" s="27" t="inlineStr">
        <is>
          <t>Scottish Government / Sign Solutions</t>
        </is>
      </c>
      <c r="C11" s="27" t="inlineStr">
        <is>
          <t>National body</t>
        </is>
      </c>
      <c r="D11" s="27" t="inlineStr">
        <is>
          <t>FOI — current Contact Scotland BSL KPI report: call volumes and international/work-call exclusion wording</t>
        </is>
      </c>
      <c r="E11" s="27" t="inlineStr">
        <is>
          <t>Not sent</t>
        </is>
      </c>
      <c r="F11" s="27" t="n"/>
      <c r="G11" s="27">
        <f>IF(F11="","",WORKDAY(F11,20,$S$5:$S$21))</f>
        <v/>
      </c>
      <c r="H11" s="27">
        <f>IF(G11="","",G11-TODAY())</f>
        <v/>
      </c>
      <c r="I11" s="27" t="n"/>
      <c r="J11" s="27" t="inlineStr">
        <is>
          <t>—</t>
        </is>
      </c>
      <c r="K11" s="27" t="n"/>
      <c r="L11" s="27" t="inlineStr">
        <is>
          <t>No</t>
        </is>
      </c>
      <c r="M11" s="27" t="n"/>
      <c r="N11" s="27" t="n"/>
      <c r="O11" s="27" t="inlineStr">
        <is>
          <t>No</t>
        </is>
      </c>
      <c r="P11" s="27" t="inlineStr">
        <is>
          <t>Combines two related open items (call-volume confirmation, exclusion wording) plus the one remaining operator-history date gap (target #22 in the original list) into a single request to the body most likely to hold all three.</t>
        </is>
      </c>
      <c r="Q11" s="27" t="inlineStr">
        <is>
          <t>No</t>
        </is>
      </c>
      <c r="S11" s="37" t="n">
        <v>46016</v>
      </c>
    </row>
    <row r="12" ht="91" customHeight="1" s="20">
      <c r="A12" s="27" t="n">
        <v>16</v>
      </c>
      <c r="B12" s="27" t="inlineStr">
        <is>
          <t>BSL Advisory Board / Department of Health and Social Care (DHSC)</t>
        </is>
      </c>
      <c r="C12" s="27" t="inlineStr">
        <is>
          <t>BSL Advisory Board</t>
        </is>
      </c>
      <c r="D12" s="27" t="inlineStr">
        <is>
          <t>FOI — methodology note for the £80-100 million/year cost-of-exclusion estimate in Locked Out</t>
        </is>
      </c>
      <c r="E12" s="27" t="inlineStr">
        <is>
          <t>Not sent</t>
        </is>
      </c>
      <c r="F12" s="27" t="n"/>
      <c r="G12" s="27">
        <f>IF(F12="","",WORKDAY(F12,20,$S$5:$S$21))</f>
        <v/>
      </c>
      <c r="H12" s="27">
        <f>IF(G12="","",G12-TODAY())</f>
        <v/>
      </c>
      <c r="I12" s="27" t="n"/>
      <c r="J12" s="27" t="inlineStr">
        <is>
          <t>—</t>
        </is>
      </c>
      <c r="K12" s="27" t="n"/>
      <c r="L12" s="27" t="inlineStr">
        <is>
          <t>No</t>
        </is>
      </c>
      <c r="M12" s="27" t="n"/>
      <c r="N12" s="27" t="n"/>
      <c r="O12" s="27" t="inlineStr">
        <is>
          <t>No</t>
        </is>
      </c>
      <c r="P12" s="27" t="inlineStr">
        <is>
          <t>Tests whether the widely-cited £80-100m figure has any government methodology behind it, or remains purely a repeated charity advocacy estimate, and whether it has ever been compared with the separate Ofcom provision-cost estimate internally.</t>
        </is>
      </c>
      <c r="Q12" s="27" t="inlineStr">
        <is>
          <t>No</t>
        </is>
      </c>
      <c r="S12" s="37" t="n">
        <v>46017</v>
      </c>
    </row>
    <row r="13" ht="102.2" customHeight="1" s="20">
      <c r="A13" s="27" t="n">
        <v>17</v>
      </c>
      <c r="B13" s="27" t="inlineStr">
        <is>
          <t>DWP / Access to Work</t>
        </is>
      </c>
      <c r="C13" s="27" t="inlineStr">
        <is>
          <t>DWP</t>
        </is>
      </c>
      <c r="D13" s="27" t="inlineStr">
        <is>
          <t>FOI — current published (or unpublished) Support Worker / BSL interpreter hourly rate bands and VRI bundle pricing</t>
        </is>
      </c>
      <c r="E13" s="27" t="inlineStr">
        <is>
          <t>Not sent</t>
        </is>
      </c>
      <c r="F13" s="27" t="n"/>
      <c r="G13" s="27">
        <f>IF(F13="","",WORKDAY(F13,20,$S$5:$S$21))</f>
        <v/>
      </c>
      <c r="H13" s="27">
        <f>IF(G13="","",G13-TODAY())</f>
        <v/>
      </c>
      <c r="I13" s="27" t="n"/>
      <c r="J13" s="27" t="inlineStr">
        <is>
          <t>—</t>
        </is>
      </c>
      <c r="K13" s="27" t="n"/>
      <c r="L13" s="27" t="inlineStr">
        <is>
          <t>No</t>
        </is>
      </c>
      <c r="M13" s="27" t="n"/>
      <c r="N13" s="27" t="n"/>
      <c r="O13" s="27" t="inlineStr">
        <is>
          <t>No</t>
        </is>
      </c>
      <c r="P13" s="27" t="inlineStr">
        <is>
          <t>This domain's single most consequential open pricing question — a real, DWP-sourced but *different* rate figure was found this session (Section 37), directly contradicting the more widely circulated figures; only DWP itself can settle which, if either, is the current position.</t>
        </is>
      </c>
      <c r="Q13" s="27" t="inlineStr">
        <is>
          <t>No</t>
        </is>
      </c>
      <c r="S13" s="37" t="n">
        <v>46023</v>
      </c>
    </row>
    <row r="14" ht="79.84999999999999" customHeight="1" s="20">
      <c r="A14" s="27" t="n">
        <v>18</v>
      </c>
      <c r="B14" s="27" t="inlineStr">
        <is>
          <t>NHS Wales / NHS 111 Wales</t>
        </is>
      </c>
      <c r="C14" s="27" t="inlineStr">
        <is>
          <t>National body</t>
        </is>
      </c>
      <c r="D14" s="27" t="inlineStr">
        <is>
          <t>FOI — does any dedicated BSL video relay service exist for NHS 111 in Wales?</t>
        </is>
      </c>
      <c r="E14" s="27" t="inlineStr">
        <is>
          <t>Not sent</t>
        </is>
      </c>
      <c r="F14" s="27" t="n"/>
      <c r="G14" s="27">
        <f>IF(F14="","",WORKDAY(F14,20,$S$5:$S$21))</f>
        <v/>
      </c>
      <c r="H14" s="27">
        <f>IF(G14="","",G14-TODAY())</f>
        <v/>
      </c>
      <c r="I14" s="27" t="n"/>
      <c r="J14" s="27" t="inlineStr">
        <is>
          <t>—</t>
        </is>
      </c>
      <c r="K14" s="27" t="n"/>
      <c r="L14" s="27" t="inlineStr">
        <is>
          <t>No</t>
        </is>
      </c>
      <c r="M14" s="27" t="n"/>
      <c r="N14" s="27" t="n"/>
      <c r="O14" s="27" t="inlineStr">
        <is>
          <t>No</t>
        </is>
      </c>
      <c r="P14" s="27" t="inlineStr">
        <is>
          <t>A genuine new gap surfaced by this domain's research (Section 37/prior passes) — this may mean Wales currently has no dedicated 111 BSL video relay service at all, which is itself a notable and previously undocumented finding if confirmed.</t>
        </is>
      </c>
      <c r="Q14" s="27" t="inlineStr">
        <is>
          <t>No</t>
        </is>
      </c>
      <c r="S14" s="37" t="n">
        <v>46115</v>
      </c>
    </row>
    <row r="15" ht="124.6" customHeight="1" s="20">
      <c r="A15" s="27" t="n">
        <v>20</v>
      </c>
      <c r="B15" s="27" t="inlineStr">
        <is>
          <t>Sheffield City Council</t>
        </is>
      </c>
      <c r="C15" s="27" t="inlineStr">
        <is>
          <t>National body</t>
        </is>
      </c>
      <c r="D15" s="27" t="inlineStr">
        <is>
          <t>FOI — the Signlive/Convo 'Online BSL Services' contract: value and procurement route</t>
        </is>
      </c>
      <c r="E15" s="27" t="inlineStr">
        <is>
          <t>Not sent</t>
        </is>
      </c>
      <c r="F15" s="27" t="n"/>
      <c r="G15" s="27">
        <f>IF(F15="","",WORKDAY(F15,20,$S$5:$S$21))</f>
        <v/>
      </c>
      <c r="H15" s="27">
        <f>IF(G15="","",G15-TODAY())</f>
        <v/>
      </c>
      <c r="I15" s="27" t="n"/>
      <c r="J15" s="27" t="inlineStr">
        <is>
          <t>—</t>
        </is>
      </c>
      <c r="K15" s="27" t="n"/>
      <c r="L15" s="27" t="inlineStr">
        <is>
          <t>No</t>
        </is>
      </c>
      <c r="M15" s="27" t="n"/>
      <c r="N15" s="27" t="n"/>
      <c r="O15" s="27" t="inlineStr">
        <is>
          <t>No</t>
        </is>
      </c>
      <c r="P15" s="27" t="inlineStr">
        <is>
          <t>The one remaining unconfirmed figure in the Convo/SignLive research thread (Section 36-37) — the partnership itself is independently confirmed via the council's own website, but the contract value has no public procurement-notice trail anywhere, and this domain's research concluded an FOI request is the only remaining way to close it.</t>
        </is>
      </c>
      <c r="Q15" s="27" t="inlineStr">
        <is>
          <t>No</t>
        </is>
      </c>
      <c r="S15" s="37" t="n">
        <v>46118</v>
      </c>
    </row>
    <row r="16" ht="15" customHeight="1" s="20">
      <c r="A16" s="27" t="n"/>
      <c r="B16" s="27" t="n"/>
      <c r="C16" s="27" t="n"/>
      <c r="D16" s="27" t="n"/>
      <c r="E16" s="27" t="n"/>
      <c r="F16" s="27" t="n"/>
      <c r="G16" s="27">
        <f>IF(F16="","",WORKDAY(F16,20,$S$5:$S$21))</f>
        <v/>
      </c>
      <c r="H16" s="27">
        <f>IF(G16="","",G16-TODAY())</f>
        <v/>
      </c>
      <c r="I16" s="27" t="n"/>
      <c r="J16" s="27" t="n"/>
      <c r="K16" s="27" t="n"/>
      <c r="L16" s="27" t="n"/>
      <c r="M16" s="27" t="n"/>
      <c r="N16" s="27" t="n"/>
      <c r="O16" s="27" t="n"/>
      <c r="P16" s="27" t="n"/>
      <c r="Q16" s="27" t="n"/>
      <c r="S16" s="37" t="n">
        <v>46146</v>
      </c>
    </row>
    <row r="17" ht="15" customHeight="1" s="20">
      <c r="A17" s="27" t="n"/>
      <c r="B17" s="27" t="n"/>
      <c r="C17" s="27" t="n"/>
      <c r="D17" s="27" t="n"/>
      <c r="E17" s="27" t="n"/>
      <c r="F17" s="27" t="n"/>
      <c r="G17" s="27">
        <f>IF(F17="","",WORKDAY(F17,20,$S$5:$S$21))</f>
        <v/>
      </c>
      <c r="H17" s="27">
        <f>IF(G17="","",G17-TODAY())</f>
        <v/>
      </c>
      <c r="I17" s="27" t="n"/>
      <c r="J17" s="27" t="n"/>
      <c r="K17" s="27" t="n"/>
      <c r="L17" s="27" t="n"/>
      <c r="M17" s="27" t="n"/>
      <c r="N17" s="27" t="n"/>
      <c r="O17" s="27" t="n"/>
      <c r="P17" s="27" t="n"/>
      <c r="Q17" s="27" t="n"/>
      <c r="S17" s="37" t="n">
        <v>46167</v>
      </c>
    </row>
    <row r="18" ht="15" customHeight="1" s="20">
      <c r="A18" s="27" t="n"/>
      <c r="B18" s="27" t="n"/>
      <c r="C18" s="27" t="n"/>
      <c r="D18" s="27" t="n"/>
      <c r="E18" s="27" t="n"/>
      <c r="F18" s="27" t="n"/>
      <c r="G18" s="27">
        <f>IF(F18="","",WORKDAY(F18,20,$S$5:$S$21))</f>
        <v/>
      </c>
      <c r="H18" s="27">
        <f>IF(G18="","",G18-TODAY())</f>
        <v/>
      </c>
      <c r="I18" s="27" t="n"/>
      <c r="J18" s="27" t="n"/>
      <c r="K18" s="27" t="n"/>
      <c r="L18" s="27" t="n"/>
      <c r="M18" s="27" t="n"/>
      <c r="N18" s="27" t="n"/>
      <c r="O18" s="27" t="n"/>
      <c r="P18" s="27" t="n"/>
      <c r="Q18" s="27" t="n"/>
      <c r="S18" s="37" t="n">
        <v>46265</v>
      </c>
    </row>
    <row r="19" ht="15" customHeight="1" s="20">
      <c r="A19" s="27" t="n"/>
      <c r="B19" s="27" t="n"/>
      <c r="C19" s="27" t="n"/>
      <c r="D19" s="27" t="n"/>
      <c r="E19" s="27" t="n"/>
      <c r="F19" s="27" t="n"/>
      <c r="G19" s="27">
        <f>IF(F19="","",WORKDAY(F19,20,$S$5:$S$21))</f>
        <v/>
      </c>
      <c r="H19" s="27">
        <f>IF(G19="","",G19-TODAY())</f>
        <v/>
      </c>
      <c r="I19" s="27" t="n"/>
      <c r="J19" s="27" t="n"/>
      <c r="K19" s="27" t="n"/>
      <c r="L19" s="27" t="n"/>
      <c r="M19" s="27" t="n"/>
      <c r="N19" s="27" t="n"/>
      <c r="O19" s="27" t="n"/>
      <c r="P19" s="27" t="n"/>
      <c r="Q19" s="27" t="n"/>
      <c r="S19" s="37" t="n">
        <v>46381</v>
      </c>
    </row>
    <row r="20" ht="15" customHeight="1" s="20">
      <c r="A20" s="27" t="n"/>
      <c r="B20" s="27" t="n"/>
      <c r="C20" s="27" t="n"/>
      <c r="D20" s="27" t="n"/>
      <c r="E20" s="27" t="n"/>
      <c r="F20" s="27" t="n"/>
      <c r="G20" s="27">
        <f>IF(F20="","",WORKDAY(F20,20,$S$5:$S$21))</f>
        <v/>
      </c>
      <c r="H20" s="27">
        <f>IF(G20="","",G20-TODAY())</f>
        <v/>
      </c>
      <c r="I20" s="27" t="n"/>
      <c r="J20" s="27" t="n"/>
      <c r="K20" s="27" t="n"/>
      <c r="L20" s="27" t="n"/>
      <c r="M20" s="27" t="n"/>
      <c r="N20" s="27" t="n"/>
      <c r="O20" s="27" t="n"/>
      <c r="P20" s="27" t="n"/>
      <c r="Q20" s="27" t="n"/>
      <c r="S20" s="37" t="n">
        <v>46384</v>
      </c>
    </row>
    <row r="21" ht="15" customHeight="1" s="20">
      <c r="A21" s="27" t="n"/>
      <c r="B21" s="27" t="n"/>
      <c r="C21" s="27" t="n"/>
      <c r="D21" s="27" t="n"/>
      <c r="E21" s="27" t="n"/>
      <c r="F21" s="27" t="n"/>
      <c r="G21" s="27">
        <f>IF(F21="","",WORKDAY(F21,20,$S$5:$S$21))</f>
        <v/>
      </c>
      <c r="H21" s="27">
        <f>IF(G21="","",G21-TODAY())</f>
        <v/>
      </c>
      <c r="I21" s="27" t="n"/>
      <c r="J21" s="27" t="n"/>
      <c r="K21" s="27" t="n"/>
      <c r="L21" s="27" t="n"/>
      <c r="M21" s="27" t="n"/>
      <c r="N21" s="27" t="n"/>
      <c r="O21" s="27" t="n"/>
      <c r="P21" s="27" t="n"/>
      <c r="Q21" s="27" t="n"/>
      <c r="S21" s="37" t="n">
        <v>46388</v>
      </c>
    </row>
    <row r="22" ht="15" customHeight="1" s="20">
      <c r="A22" s="27" t="n"/>
      <c r="B22" s="27" t="n"/>
      <c r="C22" s="27" t="n"/>
      <c r="D22" s="27" t="n"/>
      <c r="E22" s="27" t="n"/>
      <c r="F22" s="27" t="n"/>
      <c r="G22" s="27">
        <f>IF(F22="","",WORKDAY(F22,20,$S$5:$S$21))</f>
        <v/>
      </c>
      <c r="H22" s="27">
        <f>IF(G22="","",G22-TODAY())</f>
        <v/>
      </c>
      <c r="I22" s="27" t="n"/>
      <c r="J22" s="27" t="n"/>
      <c r="K22" s="27" t="n"/>
      <c r="L22" s="27" t="n"/>
      <c r="M22" s="27" t="n"/>
      <c r="N22" s="27" t="n"/>
      <c r="O22" s="27" t="n"/>
      <c r="P22" s="27" t="n"/>
      <c r="Q22" s="27" t="n"/>
    </row>
    <row r="23" ht="15" customHeight="1" s="20">
      <c r="A23" s="27" t="n"/>
      <c r="B23" s="27" t="n"/>
      <c r="C23" s="27" t="n"/>
      <c r="D23" s="27" t="n"/>
      <c r="E23" s="27" t="n"/>
      <c r="F23" s="27" t="n"/>
      <c r="G23" s="27">
        <f>IF(F23="","",WORKDAY(F23,20,$S$5:$S$21))</f>
        <v/>
      </c>
      <c r="H23" s="27">
        <f>IF(G23="","",G23-TODAY())</f>
        <v/>
      </c>
      <c r="I23" s="27" t="n"/>
      <c r="J23" s="27" t="n"/>
      <c r="K23" s="27" t="n"/>
      <c r="L23" s="27" t="n"/>
      <c r="M23" s="27" t="n"/>
      <c r="N23" s="27" t="n"/>
      <c r="O23" s="27" t="n"/>
      <c r="P23" s="27" t="n"/>
      <c r="Q23" s="27" t="n"/>
    </row>
    <row r="24" ht="15" customHeight="1" s="20">
      <c r="A24" s="27" t="n"/>
      <c r="B24" s="27" t="n"/>
      <c r="C24" s="27" t="n"/>
      <c r="D24" s="27" t="n"/>
      <c r="E24" s="27" t="n"/>
      <c r="F24" s="27" t="n"/>
      <c r="G24" s="27">
        <f>IF(F24="","",WORKDAY(F24,20,$S$5:$S$21))</f>
        <v/>
      </c>
      <c r="H24" s="27">
        <f>IF(G24="","",G24-TODAY())</f>
        <v/>
      </c>
      <c r="I24" s="27" t="n"/>
      <c r="J24" s="27" t="n"/>
      <c r="K24" s="27" t="n"/>
      <c r="L24" s="27" t="n"/>
      <c r="M24" s="27" t="n"/>
      <c r="N24" s="27" t="n"/>
      <c r="O24" s="27" t="n"/>
      <c r="P24" s="27" t="n"/>
      <c r="Q24" s="27" t="n"/>
    </row>
    <row r="25" ht="15" customHeight="1" s="20">
      <c r="A25" s="27" t="n"/>
      <c r="B25" s="27" t="n"/>
      <c r="C25" s="27" t="n"/>
      <c r="D25" s="27" t="n"/>
      <c r="E25" s="27" t="n"/>
      <c r="F25" s="27" t="n"/>
      <c r="G25" s="27">
        <f>IF(F25="","",WORKDAY(F25,20,$S$5:$S$21))</f>
        <v/>
      </c>
      <c r="H25" s="27">
        <f>IF(G25="","",G25-TODAY())</f>
        <v/>
      </c>
      <c r="I25" s="27" t="n"/>
      <c r="J25" s="27" t="n"/>
      <c r="K25" s="27" t="n"/>
      <c r="L25" s="27" t="n"/>
      <c r="M25" s="27" t="n"/>
      <c r="N25" s="27" t="n"/>
      <c r="O25" s="27" t="n"/>
      <c r="P25" s="27" t="n"/>
      <c r="Q25" s="27" t="n"/>
    </row>
    <row r="26" ht="15" customHeight="1" s="20">
      <c r="A26" s="27" t="n"/>
      <c r="B26" s="27" t="n"/>
      <c r="C26" s="27" t="n"/>
      <c r="D26" s="27" t="n"/>
      <c r="E26" s="27" t="n"/>
      <c r="F26" s="27" t="n"/>
      <c r="G26" s="27">
        <f>IF(F26="","",WORKDAY(F26,20,$S$5:$S$21))</f>
        <v/>
      </c>
      <c r="H26" s="27">
        <f>IF(G26="","",G26-TODAY())</f>
        <v/>
      </c>
      <c r="I26" s="27" t="n"/>
      <c r="J26" s="27" t="n"/>
      <c r="K26" s="27" t="n"/>
      <c r="L26" s="27" t="n"/>
      <c r="M26" s="27" t="n"/>
      <c r="N26" s="27" t="n"/>
      <c r="O26" s="27" t="n"/>
      <c r="P26" s="27" t="n"/>
      <c r="Q26" s="27" t="n"/>
    </row>
    <row r="27" ht="15" customHeight="1" s="20">
      <c r="A27" s="27" t="n"/>
      <c r="B27" s="27" t="n"/>
      <c r="C27" s="27" t="n"/>
      <c r="D27" s="27" t="n"/>
      <c r="E27" s="27" t="n"/>
      <c r="F27" s="27" t="n"/>
      <c r="G27" s="27">
        <f>IF(F27="","",WORKDAY(F27,20,$S$5:$S$21))</f>
        <v/>
      </c>
      <c r="H27" s="27">
        <f>IF(G27="","",G27-TODAY())</f>
        <v/>
      </c>
      <c r="I27" s="27" t="n"/>
      <c r="J27" s="27" t="n"/>
      <c r="K27" s="27" t="n"/>
      <c r="L27" s="27" t="n"/>
      <c r="M27" s="27" t="n"/>
      <c r="N27" s="27" t="n"/>
      <c r="O27" s="27" t="n"/>
      <c r="P27" s="27" t="n"/>
      <c r="Q27" s="27" t="n"/>
    </row>
    <row r="28" ht="15" customHeight="1" s="20">
      <c r="A28" s="27" t="n"/>
      <c r="B28" s="27" t="n"/>
      <c r="C28" s="27" t="n"/>
      <c r="D28" s="27" t="n"/>
      <c r="E28" s="27" t="n"/>
      <c r="F28" s="27" t="n"/>
      <c r="G28" s="27">
        <f>IF(F28="","",WORKDAY(F28,20,$S$5:$S$21))</f>
        <v/>
      </c>
      <c r="H28" s="27">
        <f>IF(G28="","",G28-TODAY())</f>
        <v/>
      </c>
      <c r="I28" s="27" t="n"/>
      <c r="J28" s="27" t="n"/>
      <c r="K28" s="27" t="n"/>
      <c r="L28" s="27" t="n"/>
      <c r="M28" s="27" t="n"/>
      <c r="N28" s="27" t="n"/>
      <c r="O28" s="27" t="n"/>
      <c r="P28" s="27" t="n"/>
      <c r="Q28" s="27" t="n"/>
    </row>
    <row r="29" ht="15" customHeight="1" s="20">
      <c r="A29" s="27" t="n"/>
      <c r="B29" s="27" t="n"/>
      <c r="C29" s="27" t="n"/>
      <c r="D29" s="27" t="n"/>
      <c r="E29" s="27" t="n"/>
      <c r="F29" s="27" t="n"/>
      <c r="G29" s="27">
        <f>IF(F29="","",WORKDAY(F29,20,$S$5:$S$21))</f>
        <v/>
      </c>
      <c r="H29" s="27">
        <f>IF(G29="","",G29-TODAY())</f>
        <v/>
      </c>
      <c r="I29" s="27" t="n"/>
      <c r="J29" s="27" t="n"/>
      <c r="K29" s="27" t="n"/>
      <c r="L29" s="27" t="n"/>
      <c r="M29" s="27" t="n"/>
      <c r="N29" s="27" t="n"/>
      <c r="O29" s="27" t="n"/>
      <c r="P29" s="27" t="n"/>
      <c r="Q29" s="27" t="n"/>
    </row>
    <row r="30" ht="15" customHeight="1" s="20">
      <c r="A30" s="27" t="n"/>
      <c r="B30" s="27" t="n"/>
      <c r="C30" s="27" t="n"/>
      <c r="D30" s="27" t="n"/>
      <c r="E30" s="27" t="n"/>
      <c r="F30" s="27" t="n"/>
      <c r="G30" s="27">
        <f>IF(F30="","",WORKDAY(F30,20,$S$5:$S$21))</f>
        <v/>
      </c>
      <c r="H30" s="27">
        <f>IF(G30="","",G30-TODAY())</f>
        <v/>
      </c>
      <c r="I30" s="27" t="n"/>
      <c r="J30" s="27" t="n"/>
      <c r="K30" s="27" t="n"/>
      <c r="L30" s="27" t="n"/>
      <c r="M30" s="27" t="n"/>
      <c r="N30" s="27" t="n"/>
      <c r="O30" s="27" t="n"/>
      <c r="P30" s="27" t="n"/>
      <c r="Q30" s="27" t="n"/>
    </row>
    <row r="31" ht="15" customHeight="1" s="20">
      <c r="A31" s="27" t="n"/>
      <c r="B31" s="27" t="n"/>
      <c r="C31" s="27" t="n"/>
      <c r="D31" s="27" t="n"/>
      <c r="E31" s="27" t="n"/>
      <c r="F31" s="27" t="n"/>
      <c r="G31" s="27">
        <f>IF(F31="","",WORKDAY(F31,20,$S$5:$S$21))</f>
        <v/>
      </c>
      <c r="H31" s="27">
        <f>IF(G31="","",G31-TODAY())</f>
        <v/>
      </c>
      <c r="I31" s="27" t="n"/>
      <c r="J31" s="27" t="n"/>
      <c r="K31" s="27" t="n"/>
      <c r="L31" s="27" t="n"/>
      <c r="M31" s="27" t="n"/>
      <c r="N31" s="27" t="n"/>
      <c r="O31" s="27" t="n"/>
      <c r="P31" s="27" t="n"/>
      <c r="Q31" s="27" t="n"/>
    </row>
    <row r="32" ht="15" customHeight="1" s="20">
      <c r="A32" s="27" t="n"/>
      <c r="B32" s="27" t="n"/>
      <c r="C32" s="27" t="n"/>
      <c r="D32" s="27" t="n"/>
      <c r="E32" s="27" t="n"/>
      <c r="F32" s="27" t="n"/>
      <c r="G32" s="27">
        <f>IF(F32="","",WORKDAY(F32,20,$S$5:$S$21))</f>
        <v/>
      </c>
      <c r="H32" s="27">
        <f>IF(G32="","",G32-TODAY())</f>
        <v/>
      </c>
      <c r="I32" s="27" t="n"/>
      <c r="J32" s="27" t="n"/>
      <c r="K32" s="27" t="n"/>
      <c r="L32" s="27" t="n"/>
      <c r="M32" s="27" t="n"/>
      <c r="N32" s="27" t="n"/>
      <c r="O32" s="27" t="n"/>
      <c r="P32" s="27" t="n"/>
      <c r="Q32" s="27" t="n"/>
    </row>
    <row r="33" ht="15" customHeight="1" s="20">
      <c r="A33" s="27" t="n"/>
      <c r="B33" s="27" t="n"/>
      <c r="C33" s="27" t="n"/>
      <c r="D33" s="27" t="n"/>
      <c r="E33" s="27" t="n"/>
      <c r="F33" s="27" t="n"/>
      <c r="G33" s="27">
        <f>IF(F33="","",WORKDAY(F33,20,$S$5:$S$21))</f>
        <v/>
      </c>
      <c r="H33" s="27">
        <f>IF(G33="","",G33-TODAY())</f>
        <v/>
      </c>
      <c r="I33" s="27" t="n"/>
      <c r="J33" s="27" t="n"/>
      <c r="K33" s="27" t="n"/>
      <c r="L33" s="27" t="n"/>
      <c r="M33" s="27" t="n"/>
      <c r="N33" s="27" t="n"/>
      <c r="O33" s="27" t="n"/>
      <c r="P33" s="27" t="n"/>
      <c r="Q33" s="27" t="n"/>
    </row>
    <row r="34" ht="15" customHeight="1" s="20">
      <c r="A34" s="27" t="n"/>
      <c r="B34" s="27" t="n"/>
      <c r="C34" s="27" t="n"/>
      <c r="D34" s="27" t="n"/>
      <c r="E34" s="27" t="n"/>
      <c r="F34" s="27" t="n"/>
      <c r="G34" s="27">
        <f>IF(F34="","",WORKDAY(F34,20,$S$5:$S$21))</f>
        <v/>
      </c>
      <c r="H34" s="27">
        <f>IF(G34="","",G34-TODAY())</f>
        <v/>
      </c>
      <c r="I34" s="27" t="n"/>
      <c r="J34" s="27" t="n"/>
      <c r="K34" s="27" t="n"/>
      <c r="L34" s="27" t="n"/>
      <c r="M34" s="27" t="n"/>
      <c r="N34" s="27" t="n"/>
      <c r="O34" s="27" t="n"/>
      <c r="P34" s="27" t="n"/>
      <c r="Q34" s="27" t="n"/>
    </row>
    <row r="35" ht="15" customHeight="1" s="20">
      <c r="A35" s="27" t="n"/>
      <c r="B35" s="27" t="n"/>
      <c r="C35" s="27" t="n"/>
      <c r="D35" s="27" t="n"/>
      <c r="E35" s="27" t="n"/>
      <c r="F35" s="27" t="n"/>
      <c r="G35" s="27">
        <f>IF(F35="","",WORKDAY(F35,20,$S$5:$S$21))</f>
        <v/>
      </c>
      <c r="H35" s="27">
        <f>IF(G35="","",G35-TODAY())</f>
        <v/>
      </c>
      <c r="I35" s="27" t="n"/>
      <c r="J35" s="27" t="n"/>
      <c r="K35" s="27" t="n"/>
      <c r="L35" s="27" t="n"/>
      <c r="M35" s="27" t="n"/>
      <c r="N35" s="27" t="n"/>
      <c r="O35" s="27" t="n"/>
      <c r="P35" s="27" t="n"/>
      <c r="Q35" s="27" t="n"/>
    </row>
    <row r="36" ht="15" customHeight="1" s="20">
      <c r="A36" s="27" t="n"/>
      <c r="B36" s="27" t="n"/>
      <c r="C36" s="27" t="n"/>
      <c r="D36" s="27" t="n"/>
      <c r="E36" s="27" t="n"/>
      <c r="F36" s="27" t="n"/>
      <c r="G36" s="27">
        <f>IF(F36="","",WORKDAY(F36,20,$S$5:$S$21))</f>
        <v/>
      </c>
      <c r="H36" s="27">
        <f>IF(G36="","",G36-TODAY())</f>
        <v/>
      </c>
      <c r="I36" s="27" t="n"/>
      <c r="J36" s="27" t="n"/>
      <c r="K36" s="27" t="n"/>
      <c r="L36" s="27" t="n"/>
      <c r="M36" s="27" t="n"/>
      <c r="N36" s="27" t="n"/>
      <c r="O36" s="27" t="n"/>
      <c r="P36" s="27" t="n"/>
      <c r="Q36" s="27" t="n"/>
    </row>
    <row r="37" ht="15" customHeight="1" s="20">
      <c r="A37" s="27" t="n"/>
      <c r="B37" s="27" t="n"/>
      <c r="C37" s="27" t="n"/>
      <c r="D37" s="27" t="n"/>
      <c r="E37" s="27" t="n"/>
      <c r="F37" s="27" t="n"/>
      <c r="G37" s="27">
        <f>IF(F37="","",WORKDAY(F37,20,$S$5:$S$21))</f>
        <v/>
      </c>
      <c r="H37" s="27">
        <f>IF(G37="","",G37-TODAY())</f>
        <v/>
      </c>
      <c r="I37" s="27" t="n"/>
      <c r="J37" s="27" t="n"/>
      <c r="K37" s="27" t="n"/>
      <c r="L37" s="27" t="n"/>
      <c r="M37" s="27" t="n"/>
      <c r="N37" s="27" t="n"/>
      <c r="O37" s="27" t="n"/>
      <c r="P37" s="27" t="n"/>
      <c r="Q37" s="27" t="n"/>
    </row>
    <row r="38" ht="15" customHeight="1" s="20">
      <c r="A38" s="27" t="n"/>
      <c r="B38" s="27" t="n"/>
      <c r="C38" s="27" t="n"/>
      <c r="D38" s="27" t="n"/>
      <c r="E38" s="27" t="n"/>
      <c r="F38" s="27" t="n"/>
      <c r="G38" s="27">
        <f>IF(F38="","",WORKDAY(F38,20,$S$5:$S$21))</f>
        <v/>
      </c>
      <c r="H38" s="27">
        <f>IF(G38="","",G38-TODAY())</f>
        <v/>
      </c>
      <c r="I38" s="27" t="n"/>
      <c r="J38" s="27" t="n"/>
      <c r="K38" s="27" t="n"/>
      <c r="L38" s="27" t="n"/>
      <c r="M38" s="27" t="n"/>
      <c r="N38" s="27" t="n"/>
      <c r="O38" s="27" t="n"/>
      <c r="P38" s="27" t="n"/>
      <c r="Q38" s="27" t="n"/>
    </row>
    <row r="39" ht="15" customHeight="1" s="20">
      <c r="A39" s="27" t="n"/>
      <c r="B39" s="27" t="n"/>
      <c r="C39" s="27" t="n"/>
      <c r="D39" s="27" t="n"/>
      <c r="E39" s="27" t="n"/>
      <c r="F39" s="27" t="n"/>
      <c r="G39" s="27">
        <f>IF(F39="","",WORKDAY(F39,20,$S$5:$S$21))</f>
        <v/>
      </c>
      <c r="H39" s="27">
        <f>IF(G39="","",G39-TODAY())</f>
        <v/>
      </c>
      <c r="I39" s="27" t="n"/>
      <c r="J39" s="27" t="n"/>
      <c r="K39" s="27" t="n"/>
      <c r="L39" s="27" t="n"/>
      <c r="M39" s="27" t="n"/>
      <c r="N39" s="27" t="n"/>
      <c r="O39" s="27" t="n"/>
      <c r="P39" s="27" t="n"/>
      <c r="Q39" s="27" t="n"/>
    </row>
    <row r="40" ht="15" customHeight="1" s="20">
      <c r="A40" s="27" t="n"/>
      <c r="B40" s="27" t="n"/>
      <c r="C40" s="27" t="n"/>
      <c r="D40" s="27" t="n"/>
      <c r="E40" s="27" t="n"/>
      <c r="F40" s="27" t="n"/>
      <c r="G40" s="27">
        <f>IF(F40="","",WORKDAY(F40,20,$S$5:$S$21))</f>
        <v/>
      </c>
      <c r="H40" s="27">
        <f>IF(G40="","",G40-TODAY())</f>
        <v/>
      </c>
      <c r="I40" s="27" t="n"/>
      <c r="J40" s="27" t="n"/>
      <c r="K40" s="27" t="n"/>
      <c r="L40" s="27" t="n"/>
      <c r="M40" s="27" t="n"/>
      <c r="N40" s="27" t="n"/>
      <c r="O40" s="27" t="n"/>
      <c r="P40" s="27" t="n"/>
      <c r="Q40" s="27" t="n"/>
    </row>
  </sheetData>
  <conditionalFormatting sqref="H5:H41">
    <cfRule type="expression" rank="0" priority="2" equalAverage="0" aboveAverage="0" dxfId="0" text="" percent="0" bottom="0">
      <formula>AND(ISNUMBER(H5),H5&lt;0)</formula>
    </cfRule>
    <cfRule type="expression" rank="0" priority="3" equalAverage="0" aboveAverage="0" dxfId="1" text="" percent="0" bottom="0">
      <formula>AND(ISNUMBER(H5),H5&gt;=0,H5&lt;=5)</formula>
    </cfRule>
    <cfRule type="expression" rank="0" priority="4" equalAverage="0" aboveAverage="0" dxfId="2" text="" percent="0" bottom="0">
      <formula>AND(ISNUMBER(H5),H5&gt;5)</formula>
    </cfRule>
  </conditionalFormatting>
  <dataValidations count="5">
    <dataValidation sqref="E5:E41" showDropDown="0" showInputMessage="0" showErrorMessage="0" allowBlank="1" type="list" errorStyle="stop" operator="between">
      <formula1>"Not sent,Sent,Due soon,Overdue,Answered — data,Answered — not held,Answered — refused,Internal review,Closed"</formula1>
      <formula2>0</formula2>
    </dataValidation>
    <dataValidation sqref="J5:J41" showDropDown="0" showInputMessage="0" showErrorMessage="0" allowBlank="1" type="list" errorStyle="stop" operator="between">
      <formula1>"—,Full data,Partial data,Not held centrally,Section 12 cost,Section 40 personal data,Section 21 already published,Withdrawn,Internal review"</formula1>
      <formula2>0</formula2>
    </dataValidation>
    <dataValidation sqref="L5:L41" showDropDown="0" showInputMessage="0" showErrorMessage="0" allowBlank="1" type="list" errorStyle="stop" operator="between">
      <formula1>"No,Yes — Confirmed,Yes — status changed,Not applicable"</formula1>
      <formula2>0</formula2>
    </dataValidation>
    <dataValidation sqref="O5:O41" showDropDown="0" showInputMessage="0" showErrorMessage="0" allowBlank="1" type="list" errorStyle="stop" operator="between">
      <formula1>"No,Yes — send follow-up,Yes — internal review,Yes — ask a different body"</formula1>
      <formula2>0</formula2>
    </dataValidation>
    <dataValidation sqref="Q5:Q4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1:F2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19" min="1" max="1"/>
    <col width="30" customWidth="1" style="19" min="2" max="2"/>
    <col width="14" customWidth="1" style="19" min="3" max="3"/>
    <col width="42" customWidth="1" style="19" min="4" max="5"/>
    <col width="12" customWidth="1" style="19" min="6" max="6"/>
  </cols>
  <sheetData>
    <row r="1" ht="15" customHeight="1" s="20">
      <c r="B1" s="38" t="inlineStr">
        <is>
          <t>Recipient contacts</t>
        </is>
      </c>
    </row>
    <row r="2" ht="53.7" customHeight="1" s="20">
      <c r="B2" s="34" t="inlineStr">
        <is>
          <t>Confirm the live FOI email or portal on the body's own website before sending — addresses move. Prefer WhatDoTheyKnow so the answer stays public.</t>
        </is>
      </c>
    </row>
    <row r="4" ht="15" customHeight="1" s="20">
      <c r="B4" s="26" t="inlineStr">
        <is>
          <t>Body</t>
        </is>
      </c>
      <c r="C4" s="26" t="inlineStr">
        <is>
          <t>Type</t>
        </is>
      </c>
      <c r="D4" s="26" t="inlineStr">
        <is>
          <t>FOI route (check before sending)</t>
        </is>
      </c>
      <c r="E4" s="26" t="inlineStr">
        <is>
          <t>Why this body is on the list</t>
        </is>
      </c>
      <c r="F4" s="26" t="inlineStr">
        <is>
          <t>Wave</t>
        </is>
      </c>
    </row>
    <row r="5" ht="46.25" customHeight="1" s="20">
      <c r="B5" s="28" t="inlineStr">
        <is>
          <t>Department for Work and Pensions (Access to Work)</t>
        </is>
      </c>
      <c r="C5" s="28" t="inlineStr">
        <is>
          <t>DWP</t>
        </is>
      </c>
      <c r="D5" s="28" t="inlineStr">
        <is>
          <t>DWP FOI team (foi-request@dwp.gov.uk) / WhatDoTheyKnow</t>
        </is>
      </c>
      <c r="E5" s="28" t="inlineStr">
        <is>
          <t>Only a bundled £227m/£320.7m Access to Work total exists; no isolated BSL-only or VRS-only spend figure has been found anywhere in this domain's research.</t>
        </is>
      </c>
      <c r="F5" s="28" t="inlineStr">
        <is>
          <t>First wave</t>
        </is>
      </c>
    </row>
    <row r="6" ht="57.45" customHeight="1" s="20">
      <c r="B6" s="27" t="inlineStr">
        <is>
          <t>Ofcom</t>
        </is>
      </c>
      <c r="C6" s="27" t="inlineStr">
        <is>
          <t>Regulator</t>
        </is>
      </c>
      <c r="D6" s="27" t="inlineStr">
        <is>
          <t>Ofcom FOI team (foi@ofcom.org.uk) / WhatDoTheyKnow</t>
        </is>
      </c>
      <c r="E6" s="27" t="inlineStr">
        <is>
          <t>Tests whether the 2011 £41.6-113.4m/yr estimate has ever been revisited, and whether a GC-modification route (secondary regulation) to a national VRS has been considered rather than requiring new legislation.</t>
        </is>
      </c>
      <c r="F6" s="27" t="inlineStr">
        <is>
          <t>First wave</t>
        </is>
      </c>
    </row>
    <row r="7" ht="35.05" customHeight="1" s="20">
      <c r="B7" s="28" t="inlineStr">
        <is>
          <t>NHS England</t>
        </is>
      </c>
      <c r="C7" s="28" t="inlineStr">
        <is>
          <t>NHS national</t>
        </is>
      </c>
      <c r="D7" s="28" t="inlineStr">
        <is>
          <t>NHS England FOI team (england.foi@nhs.net) / WhatDoTheyKnow</t>
        </is>
      </c>
      <c r="E7" s="28" t="inlineStr">
        <is>
          <t>The only genuinely universal (non-per-organisation) VRS the NHS has run; no public rationale for its closure has been found in this domain's research.</t>
        </is>
      </c>
      <c r="F7" s="28" t="inlineStr">
        <is>
          <t>First wave</t>
        </is>
      </c>
    </row>
    <row r="8" ht="57.45" customHeight="1" s="20">
      <c r="B8" s="27" t="inlineStr">
        <is>
          <t>Crown Commercial Service</t>
        </is>
      </c>
      <c r="C8" s="27" t="inlineStr">
        <is>
          <t>Central gov</t>
        </is>
      </c>
      <c r="D8" s="27" t="inlineStr">
        <is>
          <t>CCS FOI team / WhatDoTheyKnow</t>
        </is>
      </c>
      <c r="E8" s="27" t="inlineStr">
        <is>
          <t>No isolated BSL-only or VRS-only public-sector spend total exists anywhere in the public record for this framework; combines two related FOI targets (spend breakdown, and reporting-requirement policy) into one request to the same body.</t>
        </is>
      </c>
      <c r="F8" s="27" t="inlineStr">
        <is>
          <t>First wave</t>
        </is>
      </c>
    </row>
    <row r="9" ht="35.05" customHeight="1" s="20">
      <c r="B9" s="28" t="inlineStr">
        <is>
          <t>Driver and Vehicle Licensing Agency (DVLA)</t>
        </is>
      </c>
      <c r="C9" s="28" t="inlineStr">
        <is>
          <t>Agency</t>
        </is>
      </c>
      <c r="D9" s="28" t="inlineStr">
        <is>
          <t>DVLA FOI team (foi@dvla.gov.uk) / WhatDoTheyKnow</t>
        </is>
      </c>
      <c r="E9" s="28" t="inlineStr">
        <is>
          <t>Confirms whether this contract (this domain's smallest confirmed per-organisation VRS spend figure) is still live and at what value.</t>
        </is>
      </c>
      <c r="F9" s="28" t="inlineStr">
        <is>
          <t>Second wave</t>
        </is>
      </c>
    </row>
    <row r="10" ht="57.45" customHeight="1" s="20">
      <c r="B10" s="27" t="inlineStr">
        <is>
          <t>Information Commissioner's Office (ICO)</t>
        </is>
      </c>
      <c r="C10" s="27" t="inlineStr">
        <is>
          <t>Regulator</t>
        </is>
      </c>
      <c r="D10" s="27" t="inlineStr">
        <is>
          <t>ICO (via its FOI/data-protection-complaints route) / WhatDoTheyKnow</t>
        </is>
      </c>
      <c r="E10" s="27" t="inlineStr">
        <is>
          <t>Closes the domain's one remaining 'Lead-only for exact wording' item — the substance is doubly corroborated (Ofcom's paraphrase, and a short quote fragment on the FOI page) but the letter itself has never been read first-hand.</t>
        </is>
      </c>
      <c r="F10" s="27" t="inlineStr">
        <is>
          <t>First wave</t>
        </is>
      </c>
    </row>
    <row r="11" ht="46.25" customHeight="1" s="20">
      <c r="B11" s="28" t="inlineStr">
        <is>
          <t>NHS England (national data / information governance team)</t>
        </is>
      </c>
      <c r="C11" s="28" t="inlineStr">
        <is>
          <t>NHS national</t>
        </is>
      </c>
      <c r="D11" s="28" t="inlineStr">
        <is>
          <t>NHS England FOI team (england.foi@nhs.net) / WhatDoTheyKnow</t>
        </is>
      </c>
      <c r="E11" s="28" t="inlineStr">
        <is>
          <t>A genuine, apparently unreconciled consent-basis inconsistency between two NHS national standards, surfaced during the GDPR research thread (Sections 25-26).</t>
        </is>
      </c>
      <c r="F11" s="28" t="inlineStr">
        <is>
          <t>Second wave</t>
        </is>
      </c>
    </row>
    <row r="12" ht="57.45" customHeight="1" s="20">
      <c r="B12" s="27" t="inlineStr">
        <is>
          <t>NHS England / a sample of NHS interpreting agencies</t>
        </is>
      </c>
      <c r="C12" s="27" t="inlineStr">
        <is>
          <t>NHS national</t>
        </is>
      </c>
      <c r="D12" s="27" t="inlineStr">
        <is>
          <t>NHS England FOI team (england.foi@nhs.net) / WhatDoTheyKnow</t>
        </is>
      </c>
      <c r="E12" s="27" t="inlineStr">
        <is>
          <t>The real, documented GDPR-related barrier this domain identified is booking-metadata non-sharing between agencies, not organisations refusing interpreter-relayed calls outright — this asks whether it has moved.</t>
        </is>
      </c>
      <c r="F12" s="27" t="inlineStr">
        <is>
          <t>Second wave</t>
        </is>
      </c>
    </row>
    <row r="13" ht="57.45" customHeight="1" s="20">
      <c r="B13" s="28" t="inlineStr">
        <is>
          <t>Information Commissioner's Office (ICO)</t>
        </is>
      </c>
      <c r="C13" s="28" t="inlineStr">
        <is>
          <t>Regulator</t>
        </is>
      </c>
      <c r="D13" s="28" t="inlineStr">
        <is>
          <t>ICO (via its FOI/data-protection-complaints route) / WhatDoTheyKnow</t>
        </is>
      </c>
      <c r="E13" s="28" t="inlineStr">
        <is>
          <t>Closes an open legal question this domain file currently cannot resolve from published guidance alone — the ICO's own 2018 position sidesteps the consent framing entirely but does not address this narrower classification question.</t>
        </is>
      </c>
      <c r="F13" s="28" t="inlineStr">
        <is>
          <t>Second wave</t>
        </is>
      </c>
    </row>
    <row r="14" ht="46.25" customHeight="1" s="20">
      <c r="B14" s="27" t="inlineStr">
        <is>
          <t>Financial Ombudsman Service (FOS)</t>
        </is>
      </c>
      <c r="C14" s="27" t="inlineStr">
        <is>
          <t>Ombudsman</t>
        </is>
      </c>
      <c r="D14" s="27" t="inlineStr">
        <is>
          <t>FOS enquiries (FOS is not subject to FOIA — use its general enquiries/press office route) / WhatDoTheyKnow (informal)</t>
        </is>
      </c>
      <c r="E14" s="27" t="inlineStr">
        <is>
          <t>The domain's longest-standing open question (third-party call refusal) is a confirmed absence in published records, but FOS may hold unpublished thematic data this search could not reach.</t>
        </is>
      </c>
      <c r="F14" s="27" t="inlineStr">
        <is>
          <t>Second wave</t>
        </is>
      </c>
    </row>
    <row r="15" ht="57.45" customHeight="1" s="20">
      <c r="B15" s="28" t="inlineStr">
        <is>
          <t>Equality and Human Rights Commission (EHRC)</t>
        </is>
      </c>
      <c r="C15" s="28" t="inlineStr">
        <is>
          <t>Regulator</t>
        </is>
      </c>
      <c r="D15" s="28" t="inlineStr">
        <is>
          <t>EHRC FOI team / WhatDoTheyKnow</t>
        </is>
      </c>
      <c r="E15" s="28" t="inlineStr">
        <is>
          <t>The guidance itself is confirmed and correctly cited; this asks whether it has ever actually been applied to the specific BSL/VRS scenario this domain is tracking, or only to the generic support-worker example given in the guidance.</t>
        </is>
      </c>
      <c r="F15" s="28" t="inlineStr">
        <is>
          <t>Second wave</t>
        </is>
      </c>
    </row>
    <row r="16" ht="46.25" customHeight="1" s="20">
      <c r="B16" s="27" t="inlineStr">
        <is>
          <t>Department for Culture, Media and Sport (DCMS)</t>
        </is>
      </c>
      <c r="C16" s="27" t="inlineStr">
        <is>
          <t>Central gov</t>
        </is>
      </c>
      <c r="D16" s="27" t="inlineStr">
        <is>
          <t>DCMS FOI team (foirequests@dcms.gov.uk) / WhatDoTheyKnow</t>
        </is>
      </c>
      <c r="E16" s="27" t="inlineStr">
        <is>
          <t>Asks the sponsoring department the same question put to Ofcom directly (target #2) — whether either body sees this as a GC-modification (fast) route or a primary-legislation (slow) one.</t>
        </is>
      </c>
      <c r="F16" s="27" t="inlineStr">
        <is>
          <t>First wave</t>
        </is>
      </c>
    </row>
    <row r="17" ht="57.45" customHeight="1" s="20">
      <c r="B17" s="28" t="inlineStr">
        <is>
          <t>Scottish Government / Sign Solutions</t>
        </is>
      </c>
      <c r="C17" s="28" t="inlineStr">
        <is>
          <t>Devolved gov</t>
        </is>
      </c>
      <c r="D17" s="28" t="inlineStr">
        <is>
          <t>Scottish Government FOI team / WhatDoTheyKnow</t>
        </is>
      </c>
      <c r="E17" s="28" t="inlineStr">
        <is>
          <t>Combines two related open items (call-volume confirmation, exclusion wording) plus the one remaining operator-history date gap (target #22 in the original list) into a single request to the body most likely to hold all three.</t>
        </is>
      </c>
      <c r="F17" s="28" t="inlineStr">
        <is>
          <t>First wave</t>
        </is>
      </c>
    </row>
    <row r="18" ht="46.25" customHeight="1" s="20">
      <c r="B18" s="27" t="inlineStr">
        <is>
          <t>NHS England / a sample of NHS trusts</t>
        </is>
      </c>
      <c r="C18" s="27" t="inlineStr">
        <is>
          <t>NHS national</t>
        </is>
      </c>
      <c r="D18" s="27" t="inlineStr">
        <is>
          <t>NHS England FOI team (england.foi@nhs.net) / WhatDoTheyKnow</t>
        </is>
      </c>
      <c r="E18" s="27" t="inlineStr">
        <is>
          <t>Without this, no VRS-vs-face-to-face cost comparison can ever be built from routine data — asks whether NHS England has identified and is addressing this structural gap.</t>
        </is>
      </c>
      <c r="F18" s="27" t="inlineStr">
        <is>
          <t>Second wave</t>
        </is>
      </c>
    </row>
    <row r="19" ht="57.45" customHeight="1" s="20">
      <c r="B19" s="28" t="inlineStr">
        <is>
          <t>BSL Advisory Board / Department of Health and Social Care (DHSC)</t>
        </is>
      </c>
      <c r="C19" s="28" t="inlineStr">
        <is>
          <t>Central gov</t>
        </is>
      </c>
      <c r="D19" s="28" t="inlineStr">
        <is>
          <t>DHSC FOI team (foi@dhsc.gov.uk) / WhatDoTheyKnow</t>
        </is>
      </c>
      <c r="E19" s="28" t="inlineStr">
        <is>
          <t>Tests whether the widely-cited £80-100m figure has any government methodology behind it, or remains purely a repeated charity advocacy estimate, and whether it has ever been compared with the separate Ofcom provision-cost estimate internally.</t>
        </is>
      </c>
      <c r="F19" s="28" t="inlineStr">
        <is>
          <t>First wave</t>
        </is>
      </c>
    </row>
    <row r="20" ht="68.65000000000001" customHeight="1" s="20">
      <c r="B20" s="27" t="inlineStr">
        <is>
          <t>DWP / Access to Work</t>
        </is>
      </c>
      <c r="C20" s="27" t="inlineStr">
        <is>
          <t>DWP</t>
        </is>
      </c>
      <c r="D20" s="27" t="inlineStr">
        <is>
          <t>DWP FOI team (foi-request@dwp.gov.uk) / WhatDoTheyKnow</t>
        </is>
      </c>
      <c r="E20" s="27" t="inlineStr">
        <is>
          <t>This domain's single most consequential open pricing question — a real, DWP-sourced but *different* rate figure was found this session (Section 37), directly contradicting the more widely circulated figures; only DWP itself can settle which, if either, is the current position.</t>
        </is>
      </c>
      <c r="F20" s="27" t="inlineStr">
        <is>
          <t>First wave</t>
        </is>
      </c>
    </row>
    <row r="21" ht="57.45" customHeight="1" s="20">
      <c r="B21" s="28" t="inlineStr">
        <is>
          <t>NHS Wales / NHS 111 Wales</t>
        </is>
      </c>
      <c r="C21" s="28" t="inlineStr">
        <is>
          <t>NHS Wales</t>
        </is>
      </c>
      <c r="D21" s="28" t="inlineStr">
        <is>
          <t>NHS Wales Informatics Service / relevant Health Board FOI team / WhatDoTheyKnow</t>
        </is>
      </c>
      <c r="E21" s="28" t="inlineStr">
        <is>
          <t>A genuine new gap surfaced by this domain's research (Section 37/prior passes) — this may mean Wales currently has no dedicated 111 BSL video relay service at all, which is itself a notable and previously undocumented finding if confirmed.</t>
        </is>
      </c>
      <c r="F21" s="28" t="inlineStr">
        <is>
          <t>First wave</t>
        </is>
      </c>
    </row>
    <row r="22" ht="57.45" customHeight="1" s="20">
      <c r="B22" s="27" t="inlineStr">
        <is>
          <t>DWP / Access to Work</t>
        </is>
      </c>
      <c r="C22" s="27" t="inlineStr">
        <is>
          <t>DWP</t>
        </is>
      </c>
      <c r="D22" s="27" t="inlineStr">
        <is>
          <t>DWP FOI team (foi-request@dwp.gov.uk) / WhatDoTheyKnow</t>
        </is>
      </c>
      <c r="E22" s="27" t="inlineStr">
        <is>
          <t>Tests whether a known, provider-documented technical access barrier (workplace firewalls) has any funding route at all, or falls into a genuine policy gap between AtW's interpreting-minutes funding and employers' own IT policies.</t>
        </is>
      </c>
      <c r="F22" s="27" t="inlineStr">
        <is>
          <t>Second wave</t>
        </is>
      </c>
    </row>
    <row r="23" ht="79.84999999999999" customHeight="1" s="20">
      <c r="B23" s="28" t="inlineStr">
        <is>
          <t>Sheffield City Council</t>
        </is>
      </c>
      <c r="C23" s="28" t="inlineStr">
        <is>
          <t>Local council</t>
        </is>
      </c>
      <c r="D23" s="28" t="inlineStr">
        <is>
          <t>Sheffield City Council FOI team / WhatDoTheyKnow</t>
        </is>
      </c>
      <c r="E23" s="28" t="inlineStr">
        <is>
          <t>The one remaining unconfirmed figure in the Convo/SignLive research thread (Section 36-37) — the partnership itself is independently confirmed via the council's own website, but the contract value has no public procurement-notice trail anywhere, and this domain's research concluded an FOI request is the only remaining way to close it.</t>
        </is>
      </c>
      <c r="F23" s="28" t="inlineStr">
        <is>
          <t>First wave</t>
        </is>
      </c>
    </row>
    <row r="26" ht="15" customHeight="1" s="20">
      <c r="B26" s="24" t="inlineStr">
        <is>
          <t>Also useful, not FOI</t>
        </is>
      </c>
    </row>
    <row r="27" ht="46.25" customHeight="1" s="20">
      <c r="B27" s="25" t="inlineStr">
        <is>
          <t>WhatDoTheyKnow — https://www.whatdotheyknow.com — file here so the next volunteer can read the answer.</t>
        </is>
      </c>
    </row>
    <row r="28" ht="113.4" customHeight="1" s="20">
      <c r="B28" s="25" t="inlineStr">
        <is>
          <t>Companies House — https://find-and-update.company-information.service.gov.uk — corporate structure questions (D A Languages / Sign Solutions / Valorem, SignLive / Convo) do not need an FOI request; they are already resolved via Companies House filings, per this domain's own research.</t>
        </is>
      </c>
    </row>
    <row r="29" ht="79.84999999999999" customHeight="1" s="20">
      <c r="B29" s="25" t="inlineStr">
        <is>
          <t>BSL_DOMAIN_video_relay_telecoms.md and VERIFICATION_STATUS.md (research-framework/) — the domain research these FOI targets were drawn from; update both when an answer changes a finding.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2026-09-06T22:17:33Z</dcterms:created>
  <dcterms:modified xmlns:dcterms="http://purl.org/dc/terms/" xmlns:xsi="http://www.w3.org/2001/XMLSchema-instance" xsi:type="dcterms:W3CDTF">2026-09-07T13:42:12Z</dcterms:modified>
  <cp:revision>0</cp:revision>
</cp:coreProperties>
</file>